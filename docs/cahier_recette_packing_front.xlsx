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elm-api\docs\"/>
    </mc:Choice>
  </mc:AlternateContent>
  <xr:revisionPtr revIDLastSave="0" documentId="8_{BFD83546-491D-46B5-B86E-AAC70A6A3DE7}" xr6:coauthVersionLast="47" xr6:coauthVersionMax="47" xr10:uidLastSave="{00000000-0000-0000-0000-000000000000}"/>
  <bookViews>
    <workbookView xWindow="-108" yWindow="-108" windowWidth="23256" windowHeight="12456" xr2:uid="{D2634615-246F-4882-97EB-7A98C4781EAF}"/>
  </bookViews>
  <sheets>
    <sheet name="Synthese" sheetId="2" r:id="rId1"/>
    <sheet name="Cas_de_test" sheetId="1" r:id="rId2"/>
  </sheets>
  <definedNames>
    <definedName name="_xlnm._FilterDatabase" localSheetId="1" hidden="1">Cas_de_test!$A$1:$P$123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H10" i="2"/>
  <c r="G10" i="2"/>
  <c r="F10" i="2"/>
  <c r="E10" i="2"/>
  <c r="I9" i="2"/>
  <c r="H9" i="2"/>
  <c r="G9" i="2"/>
  <c r="F9" i="2"/>
  <c r="E9" i="2"/>
  <c r="I8" i="2"/>
  <c r="H8" i="2"/>
  <c r="G8" i="2"/>
  <c r="F8" i="2"/>
  <c r="E8" i="2"/>
  <c r="I7" i="2"/>
  <c r="H7" i="2"/>
  <c r="G7" i="2"/>
  <c r="F7" i="2"/>
  <c r="E7" i="2"/>
  <c r="I6" i="2"/>
  <c r="H6" i="2"/>
  <c r="G6" i="2"/>
  <c r="F6" i="2"/>
  <c r="E6" i="2"/>
  <c r="I5" i="2"/>
  <c r="H5" i="2"/>
  <c r="G5" i="2"/>
  <c r="F5" i="2"/>
  <c r="E5" i="2"/>
  <c r="I4" i="2"/>
  <c r="H4" i="2"/>
  <c r="G4" i="2"/>
  <c r="F4" i="2"/>
  <c r="E4" i="2"/>
  <c r="I3" i="2"/>
  <c r="H3" i="2"/>
  <c r="G3" i="2"/>
  <c r="F3" i="2"/>
  <c r="E3" i="2"/>
  <c r="I2" i="2"/>
  <c r="H2" i="2"/>
  <c r="G2" i="2"/>
  <c r="F2" i="2"/>
  <c r="E2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<sst xmlns="http://schemas.openxmlformats.org/spreadsheetml/2006/main" count="1244" uniqueCount="666">
  <si>
    <t>ID</t>
  </si>
  <si>
    <t>Module</t>
  </si>
  <si>
    <t>Sous-module</t>
  </si>
  <si>
    <t>Priorite</t>
  </si>
  <si>
    <t>Type</t>
  </si>
  <si>
    <t>Preconditions</t>
  </si>
  <si>
    <t>Etapes</t>
  </si>
  <si>
    <t>Donnees de test</t>
  </si>
  <si>
    <t>Resultat attendu</t>
  </si>
  <si>
    <t>Resultat obtenu</t>
  </si>
  <si>
    <t>Statut (OK/KO/NT)</t>
  </si>
  <si>
    <t>Severite anomalie</t>
  </si>
  <si>
    <t>Capture / preuve</t>
  </si>
  <si>
    <t>Testeur</t>
  </si>
  <si>
    <t>Date execution</t>
  </si>
  <si>
    <t>Commentaires</t>
  </si>
  <si>
    <t>PACK-001</t>
  </si>
  <si>
    <t>Acces et navigation</t>
  </si>
  <si>
    <t>Ouverture ecran</t>
  </si>
  <si>
    <t>P1</t>
  </si>
  <si>
    <t>Fonctionnel</t>
  </si>
  <si>
    <t>Utilisateur connecte avec permission packings.create</t>
  </si>
  <si>
    <t>Ouvrir menu Packing puis Nouveau packing</t>
  </si>
  <si>
    <t>N/A</t>
  </si>
  <si>
    <t>La page packings-new se charge sans erreur.</t>
  </si>
  <si>
    <t>NT</t>
  </si>
  <si>
    <t>PACK-002</t>
  </si>
  <si>
    <t>Controle permission</t>
  </si>
  <si>
    <t>Securite</t>
  </si>
  <si>
    <t>Utilisateur sans permission packings.create</t>
  </si>
  <si>
    <t>Tenter acces direct URL #/packings/packings-new</t>
  </si>
  <si>
    <t>Acces refuse (403 ou redirection autorisee).</t>
  </si>
  <si>
    <t>PACK-003</t>
  </si>
  <si>
    <t>Lien menu</t>
  </si>
  <si>
    <t>P2</t>
  </si>
  <si>
    <t>Utilisateur connecte</t>
  </si>
  <si>
    <t>Cliquer entree menu Packing puis creation</t>
  </si>
  <si>
    <t>Le bon ecran de creation est affiche.</t>
  </si>
  <si>
    <t>PACK-004</t>
  </si>
  <si>
    <t>Fil d ariane</t>
  </si>
  <si>
    <t>P3</t>
  </si>
  <si>
    <t>UX</t>
  </si>
  <si>
    <t>Page packings-new ouverte</t>
  </si>
  <si>
    <t>Verifier breadcrumb</t>
  </si>
  <si>
    <t>Breadcrumb affiche packings / packings-new coherent.</t>
  </si>
  <si>
    <t>PACK-005</t>
  </si>
  <si>
    <t>Chargement initial</t>
  </si>
  <si>
    <t>Observer formulaire au premier rendu</t>
  </si>
  <si>
    <t>Tous les champs et libelles attendus sont visibles.</t>
  </si>
  <si>
    <t>PACK-006</t>
  </si>
  <si>
    <t>Champs obligatoires</t>
  </si>
  <si>
    <t>Verifier presence indicateur obligatoire (*)</t>
  </si>
  <si>
    <t>Les champs requis sont clairement identifies.</t>
  </si>
  <si>
    <t>PACK-007</t>
  </si>
  <si>
    <t>Etat bouton sauver</t>
  </si>
  <si>
    <t>Sans renseigner les champs requis, observer bouton Enregistrer</t>
  </si>
  <si>
    <t>Bouton desactive ou soumission bloquee avec messages clairs.</t>
  </si>
  <si>
    <t>PACK-008</t>
  </si>
  <si>
    <t>Navigation clavier</t>
  </si>
  <si>
    <t>Accessibilite</t>
  </si>
  <si>
    <t>Utiliser touche Tab depuis premier champ jusqu au bouton</t>
  </si>
  <si>
    <t>Ordre de tabulation logique et visible.</t>
  </si>
  <si>
    <t>PACK-009</t>
  </si>
  <si>
    <t>Responsive mobile</t>
  </si>
  <si>
    <t>Navigateur en largeur 360px</t>
  </si>
  <si>
    <t>Ouvrir page et parcourir formulaire</t>
  </si>
  <si>
    <t>Viewport mobile</t>
  </si>
  <si>
    <t>Formulaire utilisable sans chevauchement ni champ coupe.</t>
  </si>
  <si>
    <t>PACK-010</t>
  </si>
  <si>
    <t>Responsive desktop</t>
  </si>
  <si>
    <t>Navigateur largeur &gt;= 1440px</t>
  </si>
  <si>
    <t>Ouvrir page et observer alignements</t>
  </si>
  <si>
    <t>Viewport desktop</t>
  </si>
  <si>
    <t>Alignement propre, champs lisibles, pas de zone vide anormale.</t>
  </si>
  <si>
    <t>PACK-011</t>
  </si>
  <si>
    <t>Rafraichissement F5</t>
  </si>
  <si>
    <t>Robustesse</t>
  </si>
  <si>
    <t>Formulaire rempli partiellement</t>
  </si>
  <si>
    <t>Appuyer F5 puis revenir a la page</t>
  </si>
  <si>
    <t>Pas de crash front; comportement de reset/restauration est coherent.</t>
  </si>
  <si>
    <t>PACK-012</t>
  </si>
  <si>
    <t>Changement usine</t>
  </si>
  <si>
    <t>Utilisateur multi-usines avec selecteur usine visible</t>
  </si>
  <si>
    <t>Changer usine puis revenir sur creation packing</t>
  </si>
  <si>
    <t>Usine A puis Usine B</t>
  </si>
  <si>
    <t>Le contexte actif est pris en compte pour les donnees chargees.</t>
  </si>
  <si>
    <t>PACK-013</t>
  </si>
  <si>
    <t>Prestataire</t>
  </si>
  <si>
    <t>Chargement liste</t>
  </si>
  <si>
    <t>Au moins un machiniste existe dans usine courante</t>
  </si>
  <si>
    <t>Ouvrir dropdown Machiniste</t>
  </si>
  <si>
    <t>La liste se charge et contient les prestataires attendus.</t>
  </si>
  <si>
    <t>PACK-014</t>
  </si>
  <si>
    <t>Selection valide</t>
  </si>
  <si>
    <t>Liste machinistes disponible</t>
  </si>
  <si>
    <t>Selectionner un machiniste puis sortir du champ</t>
  </si>
  <si>
    <t>Machiniste existant</t>
  </si>
  <si>
    <t>Le machiniste choisi reste selectionne.</t>
  </si>
  <si>
    <t>PACK-015</t>
  </si>
  <si>
    <t>Recherche par nom</t>
  </si>
  <si>
    <t>Dropdown avec fonction recherche</t>
  </si>
  <si>
    <t>Saisir un fragment du nom dans le filtre</t>
  </si>
  <si>
    <t>Ex: dia</t>
  </si>
  <si>
    <t>La liste est filtree correctement.</t>
  </si>
  <si>
    <t>PACK-016</t>
  </si>
  <si>
    <t>Recherche par prenom</t>
  </si>
  <si>
    <t>Saisir un fragment du prenom</t>
  </si>
  <si>
    <t>Ex: ali</t>
  </si>
  <si>
    <t>Le bon prestataire est retrouve.</t>
  </si>
  <si>
    <t>PACK-017</t>
  </si>
  <si>
    <t>Aucun resultat</t>
  </si>
  <si>
    <t>Dropdown avec recherche active</t>
  </si>
  <si>
    <t>Chercher une valeur inexistante</t>
  </si>
  <si>
    <t>zzzzzz</t>
  </si>
  <si>
    <t>Message Aucun resultat ou liste vide explicite.</t>
  </si>
  <si>
    <t>PACK-018</t>
  </si>
  <si>
    <t>Champ vide soumission</t>
  </si>
  <si>
    <t>Validation</t>
  </si>
  <si>
    <t>Tous les autres champs valides</t>
  </si>
  <si>
    <t>Laisser Machiniste vide puis Enregistrer</t>
  </si>
  <si>
    <t>prestataire vide</t>
  </si>
  <si>
    <t>Message: Le prestataire est obligatoire.</t>
  </si>
  <si>
    <t>PACK-019</t>
  </si>
  <si>
    <t>Suppression selection</t>
  </si>
  <si>
    <t>Machiniste deja selectionne</t>
  </si>
  <si>
    <t>Effacer selection puis soumettre</t>
  </si>
  <si>
    <t>Soumission refusee avec erreur prestataire obligatoire.</t>
  </si>
  <si>
    <t>PACK-020</t>
  </si>
  <si>
    <t>Type invalide payload</t>
  </si>
  <si>
    <t>Validation API</t>
  </si>
  <si>
    <t>Utiliser DevTools pour modifier requete</t>
  </si>
  <si>
    <t>Envoyer prestataire_id non entier</t>
  </si>
  <si>
    <t>prestataire_id=abc</t>
  </si>
  <si>
    <t>Erreur 422: prestataire invalide.</t>
  </si>
  <si>
    <t>PACK-021</t>
  </si>
  <si>
    <t>ID inexistant payload</t>
  </si>
  <si>
    <t>Envoyer prestataire_id inexistant</t>
  </si>
  <si>
    <t>prestataire_id=999999</t>
  </si>
  <si>
    <t>Erreur 422: prestataire selectionne introuvable.</t>
  </si>
  <si>
    <t>PACK-022</t>
  </si>
  <si>
    <t>Cross-usine payload</t>
  </si>
  <si>
    <t>2 usines + id prestataire usine differente connu</t>
  </si>
  <si>
    <t>Envoyer id prestataire d une autre usine</t>
  </si>
  <si>
    <t>prestataire_id autre usine</t>
  </si>
  <si>
    <t>Erreur 422 exists avec protection cross-usine.</t>
  </si>
  <si>
    <t>PACK-023</t>
  </si>
  <si>
    <t>Prestataire archive/inactif</t>
  </si>
  <si>
    <t>Prestataire inactif present en base</t>
  </si>
  <si>
    <t>Ouvrir dropdown</t>
  </si>
  <si>
    <t>Le comportement respecte la regle metier (masque ou marque clairement).</t>
  </si>
  <si>
    <t>PACK-024</t>
  </si>
  <si>
    <t>Grande volumetrie</t>
  </si>
  <si>
    <t>Performance UX</t>
  </si>
  <si>
    <t>&gt;=100 prestataires dans usine</t>
  </si>
  <si>
    <t>Ouvrir dropdown puis scroll complet</t>
  </si>
  <si>
    <t>Liste reste fluide sans blocage.</t>
  </si>
  <si>
    <t>PACK-025</t>
  </si>
  <si>
    <t>Caracteres speciaux affichage</t>
  </si>
  <si>
    <t>Prestataire avec apostrophe ou tiret existe</t>
  </si>
  <si>
    <t>Selectionner et afficher valeur</t>
  </si>
  <si>
    <t>Nom ex: O CAMARA-SY</t>
  </si>
  <si>
    <t>Affichage correct sans corruption de texte.</t>
  </si>
  <si>
    <t>PACK-026</t>
  </si>
  <si>
    <t>Reset apres changement usine</t>
  </si>
  <si>
    <t>Machiniste selectionne en usine A</t>
  </si>
  <si>
    <t>Basculer vers usine B</t>
  </si>
  <si>
    <t>La selection precedente est invalidee si non appartenant a usine B.</t>
  </si>
  <si>
    <t>PACK-027</t>
  </si>
  <si>
    <t>Date</t>
  </si>
  <si>
    <t>Valeur par defaut</t>
  </si>
  <si>
    <t>Ouvrir page de creation</t>
  </si>
  <si>
    <t>Observer champ Date au chargement</t>
  </si>
  <si>
    <t>Date du jour pre-remplie.</t>
  </si>
  <si>
    <t>PACK-028</t>
  </si>
  <si>
    <t>Date passee</t>
  </si>
  <si>
    <t>Formulaire valide</t>
  </si>
  <si>
    <t>Choisir date hier puis soumettre</t>
  </si>
  <si>
    <t>Date = J-1</t>
  </si>
  <si>
    <t>Creation acceptee si autres champs valides.</t>
  </si>
  <si>
    <t>PACK-029</t>
  </si>
  <si>
    <t>Date future</t>
  </si>
  <si>
    <t>Choisir date future puis soumettre</t>
  </si>
  <si>
    <t>Date = J+1</t>
  </si>
  <si>
    <t>Creation acceptee si regle metier autorise les dates futures.</t>
  </si>
  <si>
    <t>PACK-030</t>
  </si>
  <si>
    <t>Annee bissextile valide</t>
  </si>
  <si>
    <t>Saisir 29/02/2024 puis soumettre</t>
  </si>
  <si>
    <t>29/02/2024</t>
  </si>
  <si>
    <t>Date acceptee.</t>
  </si>
  <si>
    <t>PACK-031</t>
  </si>
  <si>
    <t>Date impossible</t>
  </si>
  <si>
    <t>Saisir 31/02/2026 puis soumettre</t>
  </si>
  <si>
    <t>31/02/2026</t>
  </si>
  <si>
    <t>Erreur date invalide.</t>
  </si>
  <si>
    <t>PACK-032</t>
  </si>
  <si>
    <t>Date vide</t>
  </si>
  <si>
    <t>Formulaire valide hors date</t>
  </si>
  <si>
    <t>Effacer date puis Enregistrer</t>
  </si>
  <si>
    <t>date vide</t>
  </si>
  <si>
    <t>Message: La date est obligatoire.</t>
  </si>
  <si>
    <t>PACK-033</t>
  </si>
  <si>
    <t>Texte libre invalide</t>
  </si>
  <si>
    <t>Saisir texte non date</t>
  </si>
  <si>
    <t>abc</t>
  </si>
  <si>
    <t>Erreur: date invalide.</t>
  </si>
  <si>
    <t>PACK-034</t>
  </si>
  <si>
    <t>Format local vers API</t>
  </si>
  <si>
    <t>Integrite donnee</t>
  </si>
  <si>
    <t>DevTools reseau ouvert</t>
  </si>
  <si>
    <t>Soumettre date depuis datepicker</t>
  </si>
  <si>
    <t>Affichage 28/02/2026</t>
  </si>
  <si>
    <t>Payload API coherent avec format date attendu.</t>
  </si>
  <si>
    <t>PACK-035</t>
  </si>
  <si>
    <t>Timezone</t>
  </si>
  <si>
    <t>Fuseau navigateur non UTC</t>
  </si>
  <si>
    <t>Creer packing puis verifier date retour API</t>
  </si>
  <si>
    <t>Pas de decalage jour-1/jour+1 non desire.</t>
  </si>
  <si>
    <t>PACK-036</t>
  </si>
  <si>
    <t>Date tres ancienne</t>
  </si>
  <si>
    <t>Saisir 01/01/1970</t>
  </si>
  <si>
    <t>Comportement explicite (accepte ou message metier).</t>
  </si>
  <si>
    <t>PACK-037</t>
  </si>
  <si>
    <t>Date tres future</t>
  </si>
  <si>
    <t>Saisir 01/01/2100</t>
  </si>
  <si>
    <t>PACK-038</t>
  </si>
  <si>
    <t>Espaces autour date</t>
  </si>
  <si>
    <t>Saisie manuelle autorisee</t>
  </si>
  <si>
    <t>Entrer date avec espaces puis blur</t>
  </si>
  <si>
    <t xml:space="preserve"> 28/02/2026 </t>
  </si>
  <si>
    <t>Date normalisee ou erreur claire.</t>
  </si>
  <si>
    <t>PACK-039</t>
  </si>
  <si>
    <t>Ouverture calendrier</t>
  </si>
  <si>
    <t>Champ date visible</t>
  </si>
  <si>
    <t>Cliquer icone calendrier</t>
  </si>
  <si>
    <t>Datepicker s ouvre correctement.</t>
  </si>
  <si>
    <t>PACK-040</t>
  </si>
  <si>
    <t>Saisie clavier + blur</t>
  </si>
  <si>
    <t>Champ date editable</t>
  </si>
  <si>
    <t>Saisir date valide puis perdre focus</t>
  </si>
  <si>
    <t>27/02/2026</t>
  </si>
  <si>
    <t>Valeur conservee et validee.</t>
  </si>
  <si>
    <t>PACK-041</t>
  </si>
  <si>
    <t>Rouleaux</t>
  </si>
  <si>
    <t>Ouvrir page creation</t>
  </si>
  <si>
    <t>Observer champ Rouleaux</t>
  </si>
  <si>
    <t>Valeur initiale conforme au front (souvent 0).</t>
  </si>
  <si>
    <t>PACK-042</t>
  </si>
  <si>
    <t>Valeur minimale positive</t>
  </si>
  <si>
    <t>Stock rouleaux &gt;= 1</t>
  </si>
  <si>
    <t>Saisir 1 puis soumettre</t>
  </si>
  <si>
    <t>Creation acceptee.</t>
  </si>
  <si>
    <t>PACK-043</t>
  </si>
  <si>
    <t>Limite stock exacte</t>
  </si>
  <si>
    <t>Stock connu = N</t>
  </si>
  <si>
    <t>Saisir N puis soumettre</t>
  </si>
  <si>
    <t>nb_rouleaux = stock actuel</t>
  </si>
  <si>
    <t>Creation acceptee avec stock resultant 0.</t>
  </si>
  <si>
    <t>PACK-044</t>
  </si>
  <si>
    <t>Valeur zero</t>
  </si>
  <si>
    <t>Saisir 0 puis soumettre</t>
  </si>
  <si>
    <t>Creation acceptee; pas de decrement stock.</t>
  </si>
  <si>
    <t>PACK-045</t>
  </si>
  <si>
    <t>Valeur negative front</t>
  </si>
  <si>
    <t>Champ numerique actif</t>
  </si>
  <si>
    <t>Entrer -1</t>
  </si>
  <si>
    <t>Blocage front ou message de validation.</t>
  </si>
  <si>
    <t>PACK-046</t>
  </si>
  <si>
    <t>Valeur negative payload</t>
  </si>
  <si>
    <t>Modifier requete via DevTools</t>
  </si>
  <si>
    <t>Envoyer nb_rouleaux=-1</t>
  </si>
  <si>
    <t>Erreur 422 min: ne peut pas etre negatif.</t>
  </si>
  <si>
    <t>PACK-047</t>
  </si>
  <si>
    <t>Valeur decimale front</t>
  </si>
  <si>
    <t>Entrer 1.5</t>
  </si>
  <si>
    <t>Blocage front ou message entier requis.</t>
  </si>
  <si>
    <t>PACK-048</t>
  </si>
  <si>
    <t>Valeur decimale payload</t>
  </si>
  <si>
    <t>Envoyer nb_rouleaux=1.5</t>
  </si>
  <si>
    <t>Erreur 422: doit etre un entier.</t>
  </si>
  <si>
    <t>PACK-049</t>
  </si>
  <si>
    <t>Texte alphabetique</t>
  </si>
  <si>
    <t>Champ editable</t>
  </si>
  <si>
    <t>Saisir abc</t>
  </si>
  <si>
    <t>Valeur refusee par front/API.</t>
  </si>
  <si>
    <t>PACK-050</t>
  </si>
  <si>
    <t>Texte alphanumerique</t>
  </si>
  <si>
    <t>Saisir 12a</t>
  </si>
  <si>
    <t>12a</t>
  </si>
  <si>
    <t>Valeur refusee.</t>
  </si>
  <si>
    <t>PACK-051</t>
  </si>
  <si>
    <t>Espaces autour entier</t>
  </si>
  <si>
    <t>Saisir  5  puis soumettre</t>
  </si>
  <si>
    <t>Valeur normalisee en entier 5 ou erreur claire.</t>
  </si>
  <si>
    <t>PACK-052</t>
  </si>
  <si>
    <t>Zeros a gauche</t>
  </si>
  <si>
    <t>Saisir 0007</t>
  </si>
  <si>
    <t>Valeur interpretee en 7.</t>
  </si>
  <si>
    <t>PACK-053</t>
  </si>
  <si>
    <t>Champ vide</t>
  </si>
  <si>
    <t>Autres champs valides</t>
  </si>
  <si>
    <t>Vider rouleaux puis soumettre</t>
  </si>
  <si>
    <t>vide</t>
  </si>
  <si>
    <t>Erreur: nombre de rouleaux obligatoire.</t>
  </si>
  <si>
    <t>PACK-054</t>
  </si>
  <si>
    <t>Stock insuffisant</t>
  </si>
  <si>
    <t>Metier</t>
  </si>
  <si>
    <t>Stock connu &lt; valeur testee</t>
  </si>
  <si>
    <t>Saisir nb &gt; stock puis soumettre</t>
  </si>
  <si>
    <t>nb_rouleaux=stock+1</t>
  </si>
  <si>
    <t>Erreur metier stock insuffisant.</t>
  </si>
  <si>
    <t>PACK-055</t>
  </si>
  <si>
    <t>Produit rouleau non configure</t>
  </si>
  <si>
    <t>Parametre produit_rouleau_id vide</t>
  </si>
  <si>
    <t>Saisir nb&gt;0 puis soumettre</t>
  </si>
  <si>
    <t>nb_rouleaux=1</t>
  </si>
  <si>
    <t>Erreur: produit rouleau non configure.</t>
  </si>
  <si>
    <t>PACK-056</t>
  </si>
  <si>
    <t>Concurrence stock</t>
  </si>
  <si>
    <t>Deux utilisateurs sur meme stock limite</t>
  </si>
  <si>
    <t>Soumettre en parallele nb cumul &gt; stock</t>
  </si>
  <si>
    <t>Un des deux est refuse avec message stock insuffisant.</t>
  </si>
  <si>
    <t>PACK-057</t>
  </si>
  <si>
    <t>Valeur tres grande</t>
  </si>
  <si>
    <t>Stock tres eleve en preprod</t>
  </si>
  <si>
    <t>Saisir valeur tres grande</t>
  </si>
  <si>
    <t>Appli reste stable; validation metier coherente.</t>
  </si>
  <si>
    <t>PACK-058</t>
  </si>
  <si>
    <t>Recalcul montant live</t>
  </si>
  <si>
    <t>Prix deja renseigne</t>
  </si>
  <si>
    <t>Modifier nb_rouleaux</t>
  </si>
  <si>
    <t>ex: 3 -&gt; 8</t>
  </si>
  <si>
    <t>Montant total se met a jour immediatement.</t>
  </si>
  <si>
    <t>PACK-059</t>
  </si>
  <si>
    <t>Prix par rouleau</t>
  </si>
  <si>
    <t>Valeur initiale</t>
  </si>
  <si>
    <t>Observer champ Prix/rouleau</t>
  </si>
  <si>
    <t>Valeur initiale conforme parametre ou front.</t>
  </si>
  <si>
    <t>PACK-060</t>
  </si>
  <si>
    <t>Saisir prix 0 puis soumettre</t>
  </si>
  <si>
    <t>Creation acceptee avec montant calcule.</t>
  </si>
  <si>
    <t>PACK-061</t>
  </si>
  <si>
    <t>Valeur 1</t>
  </si>
  <si>
    <t>Saisir prix 1 puis soumettre</t>
  </si>
  <si>
    <t>PACK-062</t>
  </si>
  <si>
    <t>Valeur elevee</t>
  </si>
  <si>
    <t>Saisir prix tres eleve</t>
  </si>
  <si>
    <t>Creation acceptee si entier valide.</t>
  </si>
  <si>
    <t>PACK-063</t>
  </si>
  <si>
    <t>Blocage front ou message negatif interdit.</t>
  </si>
  <si>
    <t>PACK-064</t>
  </si>
  <si>
    <t>Modifier requete DevTools</t>
  </si>
  <si>
    <t>Envoyer prix_par_rouleau=-1</t>
  </si>
  <si>
    <t>Erreur 422 min.</t>
  </si>
  <si>
    <t>PACK-065</t>
  </si>
  <si>
    <t>Entrer 2.5</t>
  </si>
  <si>
    <t>PACK-066</t>
  </si>
  <si>
    <t>Envoyer prix_par_rouleau=2.5</t>
  </si>
  <si>
    <t>Erreur 422 integer.</t>
  </si>
  <si>
    <t>PACK-067</t>
  </si>
  <si>
    <t>Entrer abc</t>
  </si>
  <si>
    <t>PACK-068</t>
  </si>
  <si>
    <t>Symbole devise</t>
  </si>
  <si>
    <t>Entrer GNF 500</t>
  </si>
  <si>
    <t>GNF 500</t>
  </si>
  <si>
    <t>Valeur refusee ou nettoyee en nombre pur.</t>
  </si>
  <si>
    <t>PACK-069</t>
  </si>
  <si>
    <t>Entrer  500  puis soumettre</t>
  </si>
  <si>
    <t>Valeur normalisee en 500 ou message clair.</t>
  </si>
  <si>
    <t>PACK-070</t>
  </si>
  <si>
    <t>Entrer 000500</t>
  </si>
  <si>
    <t>Valeur interpretee en 500.</t>
  </si>
  <si>
    <t>PACK-071</t>
  </si>
  <si>
    <t>Champ vide (UI)</t>
  </si>
  <si>
    <t>Vider prix puis soumettre depuis UI</t>
  </si>
  <si>
    <t>Comportement attendu defini: blocage front ou fallback serveur.</t>
  </si>
  <si>
    <t>PACK-072</t>
  </si>
  <si>
    <t>Null en payload</t>
  </si>
  <si>
    <t>Envoyer prix_par_rouleau=null</t>
  </si>
  <si>
    <t>null</t>
  </si>
  <si>
    <t>Serveur applique prix par defaut parametre.</t>
  </si>
  <si>
    <t>PACK-073</t>
  </si>
  <si>
    <t>Absent du payload</t>
  </si>
  <si>
    <t>Supprimer champ prix_par_rouleau</t>
  </si>
  <si>
    <t>champ absent</t>
  </si>
  <si>
    <t>PACK-074</t>
  </si>
  <si>
    <t>Rouleaux deja renseigne</t>
  </si>
  <si>
    <t>Modifier prix</t>
  </si>
  <si>
    <t>ex: 500 -&gt; 650</t>
  </si>
  <si>
    <t>PACK-075</t>
  </si>
  <si>
    <t>Separateur millier</t>
  </si>
  <si>
    <t>Entrer 1 000</t>
  </si>
  <si>
    <t>1 000</t>
  </si>
  <si>
    <t>Comportement explicite (normalisation ou erreur).</t>
  </si>
  <si>
    <t>PACK-076</t>
  </si>
  <si>
    <t>Valeur tres grande limite int</t>
  </si>
  <si>
    <t>Entrer 2147483647</t>
  </si>
  <si>
    <t>Pas de crash front; retour validation metier coherent.</t>
  </si>
  <si>
    <t>PACK-077</t>
  </si>
  <si>
    <t>Calcul montant</t>
  </si>
  <si>
    <t>Cas nul</t>
  </si>
  <si>
    <t>Calcul</t>
  </si>
  <si>
    <t>Rouleaux=0 et Prix=0</t>
  </si>
  <si>
    <t>Observer bloc Montant total</t>
  </si>
  <si>
    <t>0 x 0</t>
  </si>
  <si>
    <t>Montant affiche 0 GNF.</t>
  </si>
  <si>
    <t>PACK-078</t>
  </si>
  <si>
    <t>Cas simple 1</t>
  </si>
  <si>
    <t>Rouleaux=1 Prix=500</t>
  </si>
  <si>
    <t>Observer montant</t>
  </si>
  <si>
    <t>1 x 500</t>
  </si>
  <si>
    <t>Montant affiche 500 GNF.</t>
  </si>
  <si>
    <t>PACK-079</t>
  </si>
  <si>
    <t>Cas simple 2</t>
  </si>
  <si>
    <t>Rouleaux=5 Prix=500</t>
  </si>
  <si>
    <t>5 x 500</t>
  </si>
  <si>
    <t>Montant affiche 2500 GNF.</t>
  </si>
  <si>
    <t>PACK-080</t>
  </si>
  <si>
    <t>Cas arbitraire</t>
  </si>
  <si>
    <t>Rouleaux=123 Prix=456</t>
  </si>
  <si>
    <t>123 x 456</t>
  </si>
  <si>
    <t>Montant affiche 56088 GNF.</t>
  </si>
  <si>
    <t>PACK-081</t>
  </si>
  <si>
    <t>Update par nb</t>
  </si>
  <si>
    <t>Prix fixe a 500</t>
  </si>
  <si>
    <t>Changer nb_rouleaux de 2 a 4</t>
  </si>
  <si>
    <t>2-&gt;4</t>
  </si>
  <si>
    <t>Montant passe de 1000 a 2000.</t>
  </si>
  <si>
    <t>PACK-082</t>
  </si>
  <si>
    <t>Update par prix</t>
  </si>
  <si>
    <t>Rouleaux fixes a 3</t>
  </si>
  <si>
    <t>Changer prix de 500 a 700</t>
  </si>
  <si>
    <t>500-&gt;700</t>
  </si>
  <si>
    <t>Montant passe de 1500 a 2100.</t>
  </si>
  <si>
    <t>PACK-083</t>
  </si>
  <si>
    <t>Update rapide double champ</t>
  </si>
  <si>
    <t>Formulaire ouvert</t>
  </si>
  <si>
    <t>Modifier nb puis prix rapidement</t>
  </si>
  <si>
    <t>8 et 650</t>
  </si>
  <si>
    <t>Montant final coherent sans retard visible.</t>
  </si>
  <si>
    <t>PACK-084</t>
  </si>
  <si>
    <t>Lecture seule</t>
  </si>
  <si>
    <t>Securite UI</t>
  </si>
  <si>
    <t>Verifier que montant ne peut pas etre saisi manuellement</t>
  </si>
  <si>
    <t>Champ montant non editable cote front.</t>
  </si>
  <si>
    <t>PACK-085</t>
  </si>
  <si>
    <t>Injection montant payload</t>
  </si>
  <si>
    <t>Securite API</t>
  </si>
  <si>
    <t>Envoyer montant arbitraire</t>
  </si>
  <si>
    <t>montant=1 alors 10x500</t>
  </si>
  <si>
    <t>Erreur 422: montant calcule par serveur.</t>
  </si>
  <si>
    <t>PACK-086</t>
  </si>
  <si>
    <t>CohÃ©rence post-creation</t>
  </si>
  <si>
    <t>Creer packing valide</t>
  </si>
  <si>
    <t>Verifier montant en liste/detail/API</t>
  </si>
  <si>
    <t>nb et prix connus</t>
  </si>
  <si>
    <t>Montant persiste = nb_rouleaux * prix_par_rouleau.</t>
  </si>
  <si>
    <t>PACK-087</t>
  </si>
  <si>
    <t>Grande valeur sans overflow</t>
  </si>
  <si>
    <t>Utiliser grandes valeurs valides</t>
  </si>
  <si>
    <t>nb=50000 prix=40000</t>
  </si>
  <si>
    <t>2 000 000 000</t>
  </si>
  <si>
    <t>Affichage et sauvegarde restent coherents.</t>
  </si>
  <si>
    <t>PACK-088</t>
  </si>
  <si>
    <t>Pas de decimales</t>
  </si>
  <si>
    <t>Plusieurs saisies effectuees</t>
  </si>
  <si>
    <t>Observer rendu montant</t>
  </si>
  <si>
    <t>Montant reste entier sans decimales.</t>
  </si>
  <si>
    <t>PACK-089</t>
  </si>
  <si>
    <t>Creation packing</t>
  </si>
  <si>
    <t>Succes nominal</t>
  </si>
  <si>
    <t>Tous champs valides + stock suffisant</t>
  </si>
  <si>
    <t>Cliquer Enregistrer</t>
  </si>
  <si>
    <t>Machiniste valide, date, nb, prix</t>
  </si>
  <si>
    <t>Creation reussie avec message succes.</t>
  </si>
  <si>
    <t>PACK-090</t>
  </si>
  <si>
    <t>Un clic = un enregistrement</t>
  </si>
  <si>
    <t>Cliquer Enregistrer une seule fois</t>
  </si>
  <si>
    <t>Un seul packing cree en base.</t>
  </si>
  <si>
    <t>PACK-091</t>
  </si>
  <si>
    <t>Double clic rapide</t>
  </si>
  <si>
    <t>Double-cliquer rapidement sur Enregistrer</t>
  </si>
  <si>
    <t>Aucun doublon cree.</t>
  </si>
  <si>
    <t>PACK-092</t>
  </si>
  <si>
    <t>Etat loading bouton</t>
  </si>
  <si>
    <t>Reseau simule lent</t>
  </si>
  <si>
    <t>Cliquer Enregistrer et observer bouton</t>
  </si>
  <si>
    <t>Slow 3G ou throttling</t>
  </si>
  <si>
    <t>Etat loading visible et interaction bloquee pendant requete.</t>
  </si>
  <si>
    <t>PACK-093</t>
  </si>
  <si>
    <t>Redirection post creation</t>
  </si>
  <si>
    <t>Creation reussie</t>
  </si>
  <si>
    <t>Verifier ecran apres succes</t>
  </si>
  <si>
    <t>Retour sur liste ou maintien ecran selon design, sans incoherence.</t>
  </si>
  <si>
    <t>PACK-094</t>
  </si>
  <si>
    <t>Visibilite dans la liste</t>
  </si>
  <si>
    <t>Ouvrir liste packings et rechercher entree</t>
  </si>
  <si>
    <t>Reference ou prestataire/date</t>
  </si>
  <si>
    <t>Nouveau packing apparait avec bonnes valeurs.</t>
  </si>
  <si>
    <t>PACK-095</t>
  </si>
  <si>
    <t>Format reference</t>
  </si>
  <si>
    <t>Verifier reference affichee</t>
  </si>
  <si>
    <t>Reference au format PACK-YYYYMMDD-XXXX.</t>
  </si>
  <si>
    <t>PACK-096</t>
  </si>
  <si>
    <t>Trace created_by</t>
  </si>
  <si>
    <t>Audit</t>
  </si>
  <si>
    <t>Acces detail/API disponible</t>
  </si>
  <si>
    <t>Verifier created_by du packing cree</t>
  </si>
  <si>
    <t>created_by renseigne avec utilisateur courant.</t>
  </si>
  <si>
    <t>PACK-097</t>
  </si>
  <si>
    <t>Trace updated_by</t>
  </si>
  <si>
    <t>Verifier updated_by du packing cree</t>
  </si>
  <si>
    <t>updated_by renseigne avec utilisateur courant.</t>
  </si>
  <si>
    <t>PACK-098</t>
  </si>
  <si>
    <t>Erreur validation conserve saisie</t>
  </si>
  <si>
    <t>Provoquer une erreur 422</t>
  </si>
  <si>
    <t>Soumettre puis corriger</t>
  </si>
  <si>
    <t>Ex: prestataire vide</t>
  </si>
  <si>
    <t>Les autres champs deja saisis sont conserves.</t>
  </si>
  <si>
    <t>PACK-099</t>
  </si>
  <si>
    <t>Erreur serveur 500</t>
  </si>
  <si>
    <t>Provoquer erreur interne (env test)</t>
  </si>
  <si>
    <t>Soumettre formulaire valide</t>
  </si>
  <si>
    <t>Message erreur generique affiche sans planter l ecran.</t>
  </si>
  <si>
    <t>PACK-100</t>
  </si>
  <si>
    <t>Annulation navigation</t>
  </si>
  <si>
    <t>Formulaire partiellement rempli</t>
  </si>
  <si>
    <t>Quitter page sans sauvegarder</t>
  </si>
  <si>
    <t>Aucun packing cree sans action Enregistrer.</t>
  </si>
  <si>
    <t>PACK-101</t>
  </si>
  <si>
    <t>Statut et facture</t>
  </si>
  <si>
    <t>Statut par defaut creation UI</t>
  </si>
  <si>
    <t>Creation via ecran standard</t>
  </si>
  <si>
    <t>Creer packing sans statut visible</t>
  </si>
  <si>
    <t>Packing cree en statut final attendu par workflow (valide par defaut).</t>
  </si>
  <si>
    <t>PACK-102</t>
  </si>
  <si>
    <t>Creation statut a_valider payload</t>
  </si>
  <si>
    <t>Metier API</t>
  </si>
  <si>
    <t>Modifier payload via DevTools</t>
  </si>
  <si>
    <t>Envoyer statut=a_valider</t>
  </si>
  <si>
    <t>statut=a_valider</t>
  </si>
  <si>
    <t>Packing cree a_valider, sans facture auto.</t>
  </si>
  <si>
    <t>PACK-103</t>
  </si>
  <si>
    <t>Creation statut valide payload</t>
  </si>
  <si>
    <t>Envoyer statut=valide</t>
  </si>
  <si>
    <t>statut=valide</t>
  </si>
  <si>
    <t>Packing valide avec facture auto creee.</t>
  </si>
  <si>
    <t>PACK-104</t>
  </si>
  <si>
    <t>Lien facture pour valide</t>
  </si>
  <si>
    <t>Packing valide cree</t>
  </si>
  <si>
    <t>Verifier facture_id</t>
  </si>
  <si>
    <t>facture_id non null.</t>
  </si>
  <si>
    <t>PACK-105</t>
  </si>
  <si>
    <t>Facture montant_total</t>
  </si>
  <si>
    <t>Calcul metier</t>
  </si>
  <si>
    <t>Facture auto creee</t>
  </si>
  <si>
    <t>Verifier montant_total facture</t>
  </si>
  <si>
    <t>montant_total = montant packing.</t>
  </si>
  <si>
    <t>PACK-106</t>
  </si>
  <si>
    <t>Facture nb_packings init</t>
  </si>
  <si>
    <t>Verifier nb_packings</t>
  </si>
  <si>
    <t>nb_packings initialise a 1.</t>
  </si>
  <si>
    <t>PACK-107</t>
  </si>
  <si>
    <t>Date facture</t>
  </si>
  <si>
    <t>Comparer date facture et date packing</t>
  </si>
  <si>
    <t>Dates coherentes (identiques sauf regle contraire).</t>
  </si>
  <si>
    <t>PACK-108</t>
  </si>
  <si>
    <t>Decrement stock sur valide</t>
  </si>
  <si>
    <t>Metier stock</t>
  </si>
  <si>
    <t>Stock initial connu et packing valide</t>
  </si>
  <si>
    <t>Creer packing nb=N</t>
  </si>
  <si>
    <t>N&gt;0</t>
  </si>
  <si>
    <t>Stock produit rouleau diminue de N.</t>
  </si>
  <si>
    <t>PACK-109</t>
  </si>
  <si>
    <t>Pas de decrement sur a_valider</t>
  </si>
  <si>
    <t>Creation via payload statut=a_valider</t>
  </si>
  <si>
    <t>Stock inchange apres creation.</t>
  </si>
  <si>
    <t>PACK-110</t>
  </si>
  <si>
    <t>Stock alert in_stock</t>
  </si>
  <si>
    <t>Stock restant &gt; seuil faible</t>
  </si>
  <si>
    <t>Creer packing valide puis inspecter reponse</t>
  </si>
  <si>
    <t>stock_alert.niveau = in_stock.</t>
  </si>
  <si>
    <t>PACK-111</t>
  </si>
  <si>
    <t>Stock alert low_stock</t>
  </si>
  <si>
    <t>Stock ajustable proche seuil</t>
  </si>
  <si>
    <t>Creer packing qui fait passer stock &lt;= seuil et &gt;0</t>
  </si>
  <si>
    <t>stock_alert.niveau = low_stock + message approprie.</t>
  </si>
  <si>
    <t>PACK-112</t>
  </si>
  <si>
    <t>Stock alert out_of_stock</t>
  </si>
  <si>
    <t>Stock ajustable proche 0</t>
  </si>
  <si>
    <t>Creer packing qui amene stock a 0</t>
  </si>
  <si>
    <t>stock_alert.niveau = out_of_stock + message rupture.</t>
  </si>
  <si>
    <t>PACK-113</t>
  </si>
  <si>
    <t>Securite et robustesse</t>
  </si>
  <si>
    <t>facture_id cross-usine</t>
  </si>
  <si>
    <t>Connaitre facture_id d une autre usine</t>
  </si>
  <si>
    <t>Injecter facture_id autre usine via payload</t>
  </si>
  <si>
    <t>facture_id externe</t>
  </si>
  <si>
    <t>Erreur 422 facture introuvable dans contexte.</t>
  </si>
  <si>
    <t>PACK-114</t>
  </si>
  <si>
    <t>Statut enum invalide</t>
  </si>
  <si>
    <t>Envoyer statut=invalide</t>
  </si>
  <si>
    <t>statut=done</t>
  </si>
  <si>
    <t>Erreur 422 enum statut.</t>
  </si>
  <si>
    <t>PACK-115</t>
  </si>
  <si>
    <t>Injection script notes</t>
  </si>
  <si>
    <t>Securite XSS</t>
  </si>
  <si>
    <t>Champ notes disponible (si ecran ou payload)</t>
  </si>
  <si>
    <t>Soumettre &lt;script&gt;alert(1)&lt;/script&gt;</t>
  </si>
  <si>
    <t>payload notes script</t>
  </si>
  <si>
    <t>Aucun script execute; texte neutralise.</t>
  </si>
  <si>
    <t>PACK-116</t>
  </si>
  <si>
    <t>Texte SQL-like</t>
  </si>
  <si>
    <t>Champs texte/search disponibles</t>
  </si>
  <si>
    <t>Soumettre ' OR 1=1 --</t>
  </si>
  <si>
    <t>payload texte suspect</t>
  </si>
  <si>
    <t>Aucune execution SQL, validation normale.</t>
  </si>
  <si>
    <t>PACK-117</t>
  </si>
  <si>
    <t>Mode hors ligne</t>
  </si>
  <si>
    <t>Desactiver connexion navigateur</t>
  </si>
  <si>
    <t>offline</t>
  </si>
  <si>
    <t>Message erreur reseau; aucun enregistrement cree.</t>
  </si>
  <si>
    <t>PACK-118</t>
  </si>
  <si>
    <t>Timeout reseau et retry</t>
  </si>
  <si>
    <t>Simuler timeout API</t>
  </si>
  <si>
    <t>Soumettre puis reessayer apres retour reseau</t>
  </si>
  <si>
    <t>Pas de doublon apres retry.</t>
  </si>
  <si>
    <t>PACK-119</t>
  </si>
  <si>
    <t>Concurrence multi-utilisateurs</t>
  </si>
  <si>
    <t>Deux sessions actives</t>
  </si>
  <si>
    <t>Soumettre en parallele sur stock limite</t>
  </si>
  <si>
    <t>Integrite stock preservee avec un rejet explicite si besoin.</t>
  </si>
  <si>
    <t>PACK-120</t>
  </si>
  <si>
    <t>Temps de reponse creation</t>
  </si>
  <si>
    <t>Performance</t>
  </si>
  <si>
    <t>Environnement local/staging stable</t>
  </si>
  <si>
    <t>Mesurer temps click-&gt;reponse sur 20 essais</t>
  </si>
  <si>
    <t>Temps median conforme objectif equipe (ex &lt;2s local).</t>
  </si>
  <si>
    <t>PACK-121</t>
  </si>
  <si>
    <t>Retour navigateur apres succes</t>
  </si>
  <si>
    <t>Robustesse UX</t>
  </si>
  <si>
    <t>Bouton Back puis Forward et eventuel re-submit</t>
  </si>
  <si>
    <t>Aucune creation fantome ou duplication involontaire.</t>
  </si>
  <si>
    <t>PACK-122</t>
  </si>
  <si>
    <t>Session expiree</t>
  </si>
  <si>
    <t>Session proche expiration</t>
  </si>
  <si>
    <t>Attendre expiration puis tenter Enregistrer</t>
  </si>
  <si>
    <t>Redirection login/401 et aucun packing cree.</t>
  </si>
  <si>
    <t>Indicateur</t>
  </si>
  <si>
    <t>Valeur</t>
  </si>
  <si>
    <t>Total</t>
  </si>
  <si>
    <t>OK</t>
  </si>
  <si>
    <t>KO</t>
  </si>
  <si>
    <t>% OK</t>
  </si>
  <si>
    <t>% KO</t>
  </si>
  <si>
    <t>Total cas</t>
  </si>
  <si>
    <t>Cas OK</t>
  </si>
  <si>
    <t>Cas KO</t>
  </si>
  <si>
    <t>Cas NT</t>
  </si>
  <si>
    <t>Cas executes (OK+KO)</t>
  </si>
  <si>
    <t>% Execution</t>
  </si>
  <si>
    <t>% OK (sur executes)</t>
  </si>
  <si>
    <t>% KO (sur executes)</t>
  </si>
  <si>
    <t>Mode emploi</t>
  </si>
  <si>
    <t>1. Executer les tests de Cas_de_test.</t>
  </si>
  <si>
    <t>2. Mettre Statut sur OK, KO ou NT.</t>
  </si>
  <si>
    <t>3. Renseigner Resultat obtenu + preuve en cas KO.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</si>
</sst>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.0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936D-CA45-451C-939C-ED297ABFDCDA}">
  <dimension ref="A1:I15"/>
  <sheetViews>
    <sheetView tabSelected="1" workbookViewId="0"/>
  </sheetViews>
  <sheetFormatPr baseColWidth="10" defaultRowHeight="14.4" x14ac:dyDescent="0.3"/>
  <cols>
    <col min="1" max="1" width="34.77734375" customWidth="1"/>
    <col min="2" max="2" width="18.77734375" customWidth="1"/>
    <col min="4" max="4" width="26.77734375" customWidth="1"/>
    <col min="5" max="7" width="10.77734375" customWidth="1"/>
    <col min="8" max="9" width="12.77734375" customWidth="1"/>
  </cols>
  <sheetData>
    <row r="1" spans="1:9" x14ac:dyDescent="0.3">
      <c r="A1" s="1" t="s">
        <v>647</v>
      </c>
      <c r="B1" s="1" t="s">
        <v>648</v>
      </c>
      <c r="D1" s="1" t="s">
        <v>1</v>
      </c>
      <c r="E1" s="1" t="s">
        <v>649</v>
      </c>
      <c r="F1" s="1" t="s">
        <v>650</v>
      </c>
      <c r="G1" s="1" t="s">
        <v>651</v>
      </c>
      <c r="H1" s="1" t="s">
        <v>652</v>
      </c>
      <c r="I1" s="1" t="s">
        <v>653</v>
      </c>
    </row>
    <row r="2" spans="1:9" x14ac:dyDescent="0.3">
      <c r="A2" t="s">
        <v>654</v>
      </c>
      <c r="B2">
        <f>COUNTA(Cas_de_test!$A$2:$A$9999)</f>
        <v>122</v>
      </c>
      <c r="D2" t="s">
        <v>17</v>
      </c>
      <c r="E2">
        <f>COUNTIF(Cas_de_test!$B$2:$B$9999,D2)</f>
        <v>12</v>
      </c>
      <c r="F2">
        <f>COUNTIFS(Cas_de_test!$B$2:$B$9999,D2,Cas_de_test!$K$2:$K$9999,"OK")</f>
        <v>0</v>
      </c>
      <c r="G2">
        <f>COUNTIFS(Cas_de_test!$B$2:$B$9999,D2,Cas_de_test!$K$2:$K$9999,"KO")</f>
        <v>0</v>
      </c>
      <c r="H2" s="4">
        <f>IF((F2+G2)=0,0,F2/(F2+G2))</f>
        <v>0</v>
      </c>
      <c r="I2" s="4">
        <f>IF((F2+G2)=0,0,G2/(F2+G2))</f>
        <v>0</v>
      </c>
    </row>
    <row r="3" spans="1:9" x14ac:dyDescent="0.3">
      <c r="A3" t="s">
        <v>655</v>
      </c>
      <c r="B3">
        <f>COUNTIF(Cas_de_test!$K$2:$K$9999,"OK")</f>
        <v>0</v>
      </c>
      <c r="D3" t="s">
        <v>87</v>
      </c>
      <c r="E3">
        <f>COUNTIF(Cas_de_test!$B$2:$B$9999,D3)</f>
        <v>14</v>
      </c>
      <c r="F3">
        <f>COUNTIFS(Cas_de_test!$B$2:$B$9999,D3,Cas_de_test!$K$2:$K$9999,"OK")</f>
        <v>0</v>
      </c>
      <c r="G3">
        <f>COUNTIFS(Cas_de_test!$B$2:$B$9999,D3,Cas_de_test!$K$2:$K$9999,"KO")</f>
        <v>0</v>
      </c>
      <c r="H3" s="4">
        <f>IF((F3+G3)=0,0,F3/(F3+G3))</f>
        <v>0</v>
      </c>
      <c r="I3" s="4">
        <f>IF((F3+G3)=0,0,G3/(F3+G3))</f>
        <v>0</v>
      </c>
    </row>
    <row r="4" spans="1:9" x14ac:dyDescent="0.3">
      <c r="A4" t="s">
        <v>656</v>
      </c>
      <c r="B4">
        <f>COUNTIF(Cas_de_test!$K$2:$K$9999,"KO")</f>
        <v>0</v>
      </c>
      <c r="D4" t="s">
        <v>168</v>
      </c>
      <c r="E4">
        <f>COUNTIF(Cas_de_test!$B$2:$B$9999,D4)</f>
        <v>14</v>
      </c>
      <c r="F4">
        <f>COUNTIFS(Cas_de_test!$B$2:$B$9999,D4,Cas_de_test!$K$2:$K$9999,"OK")</f>
        <v>0</v>
      </c>
      <c r="G4">
        <f>COUNTIFS(Cas_de_test!$B$2:$B$9999,D4,Cas_de_test!$K$2:$K$9999,"KO")</f>
        <v>0</v>
      </c>
      <c r="H4" s="4">
        <f>IF((F4+G4)=0,0,F4/(F4+G4))</f>
        <v>0</v>
      </c>
      <c r="I4" s="4">
        <f>IF((F4+G4)=0,0,G4/(F4+G4))</f>
        <v>0</v>
      </c>
    </row>
    <row r="5" spans="1:9" x14ac:dyDescent="0.3">
      <c r="A5" t="s">
        <v>657</v>
      </c>
      <c r="B5">
        <f>COUNTIF(Cas_de_test!$K$2:$K$9999,"NT")</f>
        <v>122</v>
      </c>
      <c r="D5" t="s">
        <v>242</v>
      </c>
      <c r="E5">
        <f>COUNTIF(Cas_de_test!$B$2:$B$9999,D5)</f>
        <v>18</v>
      </c>
      <c r="F5">
        <f>COUNTIFS(Cas_de_test!$B$2:$B$9999,D5,Cas_de_test!$K$2:$K$9999,"OK")</f>
        <v>0</v>
      </c>
      <c r="G5">
        <f>COUNTIFS(Cas_de_test!$B$2:$B$9999,D5,Cas_de_test!$K$2:$K$9999,"KO")</f>
        <v>0</v>
      </c>
      <c r="H5" s="4">
        <f>IF((F5+G5)=0,0,F5/(F5+G5))</f>
        <v>0</v>
      </c>
      <c r="I5" s="4">
        <f>IF((F5+G5)=0,0,G5/(F5+G5))</f>
        <v>0</v>
      </c>
    </row>
    <row r="6" spans="1:9" x14ac:dyDescent="0.3">
      <c r="A6" t="s">
        <v>658</v>
      </c>
      <c r="B6">
        <f>B3+B4</f>
        <v>0</v>
      </c>
      <c r="D6" t="s">
        <v>333</v>
      </c>
      <c r="E6">
        <f>COUNTIF(Cas_de_test!$B$2:$B$9999,D6)</f>
        <v>18</v>
      </c>
      <c r="F6">
        <f>COUNTIFS(Cas_de_test!$B$2:$B$9999,D6,Cas_de_test!$K$2:$K$9999,"OK")</f>
        <v>0</v>
      </c>
      <c r="G6">
        <f>COUNTIFS(Cas_de_test!$B$2:$B$9999,D6,Cas_de_test!$K$2:$K$9999,"KO")</f>
        <v>0</v>
      </c>
      <c r="H6" s="4">
        <f>IF((F6+G6)=0,0,F6/(F6+G6))</f>
        <v>0</v>
      </c>
      <c r="I6" s="4">
        <f>IF((F6+G6)=0,0,G6/(F6+G6))</f>
        <v>0</v>
      </c>
    </row>
    <row r="7" spans="1:9" x14ac:dyDescent="0.3">
      <c r="A7" t="s">
        <v>659</v>
      </c>
      <c r="B7" s="4">
        <f>IF(B2=0,0,B6/B2)</f>
        <v>0</v>
      </c>
      <c r="D7" t="s">
        <v>398</v>
      </c>
      <c r="E7">
        <f>COUNTIF(Cas_de_test!$B$2:$B$9999,D7)</f>
        <v>12</v>
      </c>
      <c r="F7">
        <f>COUNTIFS(Cas_de_test!$B$2:$B$9999,D7,Cas_de_test!$K$2:$K$9999,"OK")</f>
        <v>0</v>
      </c>
      <c r="G7">
        <f>COUNTIFS(Cas_de_test!$B$2:$B$9999,D7,Cas_de_test!$K$2:$K$9999,"KO")</f>
        <v>0</v>
      </c>
      <c r="H7" s="4">
        <f>IF((F7+G7)=0,0,F7/(F7+G7))</f>
        <v>0</v>
      </c>
      <c r="I7" s="4">
        <f>IF((F7+G7)=0,0,G7/(F7+G7))</f>
        <v>0</v>
      </c>
    </row>
    <row r="8" spans="1:9" x14ac:dyDescent="0.3">
      <c r="A8" t="s">
        <v>660</v>
      </c>
      <c r="B8" s="4">
        <f>IF(B6=0,0,B3/B6)</f>
        <v>0</v>
      </c>
      <c r="D8" t="s">
        <v>468</v>
      </c>
      <c r="E8">
        <f>COUNTIF(Cas_de_test!$B$2:$B$9999,D8)</f>
        <v>12</v>
      </c>
      <c r="F8">
        <f>COUNTIFS(Cas_de_test!$B$2:$B$9999,D8,Cas_de_test!$K$2:$K$9999,"OK")</f>
        <v>0</v>
      </c>
      <c r="G8">
        <f>COUNTIFS(Cas_de_test!$B$2:$B$9999,D8,Cas_de_test!$K$2:$K$9999,"KO")</f>
        <v>0</v>
      </c>
      <c r="H8" s="4">
        <f>IF((F8+G8)=0,0,F8/(F8+G8))</f>
        <v>0</v>
      </c>
      <c r="I8" s="4">
        <f>IF((F8+G8)=0,0,G8/(F8+G8))</f>
        <v>0</v>
      </c>
    </row>
    <row r="9" spans="1:9" x14ac:dyDescent="0.3">
      <c r="A9" t="s">
        <v>661</v>
      </c>
      <c r="B9" s="4">
        <f>IF(B6=0,0,B4/B6)</f>
        <v>0</v>
      </c>
      <c r="D9" t="s">
        <v>529</v>
      </c>
      <c r="E9">
        <f>COUNTIF(Cas_de_test!$B$2:$B$9999,D9)</f>
        <v>12</v>
      </c>
      <c r="F9">
        <f>COUNTIFS(Cas_de_test!$B$2:$B$9999,D9,Cas_de_test!$K$2:$K$9999,"OK")</f>
        <v>0</v>
      </c>
      <c r="G9">
        <f>COUNTIFS(Cas_de_test!$B$2:$B$9999,D9,Cas_de_test!$K$2:$K$9999,"KO")</f>
        <v>0</v>
      </c>
      <c r="H9" s="4">
        <f>IF((F9+G9)=0,0,F9/(F9+G9))</f>
        <v>0</v>
      </c>
      <c r="I9" s="4">
        <f>IF((F9+G9)=0,0,G9/(F9+G9))</f>
        <v>0</v>
      </c>
    </row>
    <row r="10" spans="1:9" x14ac:dyDescent="0.3">
      <c r="D10" t="s">
        <v>592</v>
      </c>
      <c r="E10">
        <f>COUNTIF(Cas_de_test!$B$2:$B$9999,D10)</f>
        <v>10</v>
      </c>
      <c r="F10">
        <f>COUNTIFS(Cas_de_test!$B$2:$B$9999,D10,Cas_de_test!$K$2:$K$9999,"OK")</f>
        <v>0</v>
      </c>
      <c r="G10">
        <f>COUNTIFS(Cas_de_test!$B$2:$B$9999,D10,Cas_de_test!$K$2:$K$9999,"KO")</f>
        <v>0</v>
      </c>
      <c r="H10" s="4">
        <f>IF((F10+G10)=0,0,F10/(F10+G10))</f>
        <v>0</v>
      </c>
      <c r="I10" s="4">
        <f>IF((F10+G10)=0,0,G10/(F10+G10))</f>
        <v>0</v>
      </c>
    </row>
    <row r="12" spans="1:9" x14ac:dyDescent="0.3">
      <c r="A12" s="1" t="s">
        <v>662</v>
      </c>
    </row>
    <row r="13" spans="1:9" x14ac:dyDescent="0.3">
      <c r="A13" t="s">
        <v>663</v>
      </c>
    </row>
    <row r="14" spans="1:9" x14ac:dyDescent="0.3">
      <c r="A14" t="s">
        <v>664</v>
      </c>
    </row>
    <row r="15" spans="1:9" x14ac:dyDescent="0.3">
      <c r="A15" t="s">
        <v>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1FE6-E886-4265-8499-91985CBAB0E5}">
  <dimension ref="A1:P123"/>
  <sheetViews>
    <sheetView workbookViewId="0"/>
  </sheetViews>
  <sheetFormatPr baseColWidth="10" defaultRowHeight="14.4" x14ac:dyDescent="0.3"/>
  <cols>
    <col min="1" max="1" width="12.77734375" customWidth="1"/>
    <col min="2" max="2" width="24.77734375" customWidth="1"/>
    <col min="3" max="3" width="26.77734375" customWidth="1"/>
    <col min="4" max="4" width="10.77734375" customWidth="1"/>
    <col min="5" max="5" width="16.77734375" customWidth="1"/>
    <col min="6" max="6" width="40.77734375" customWidth="1"/>
    <col min="7" max="7" width="38.77734375" customWidth="1"/>
    <col min="8" max="8" width="24.77734375" customWidth="1"/>
    <col min="9" max="9" width="42.77734375" customWidth="1"/>
    <col min="10" max="10" width="28.77734375" customWidth="1"/>
    <col min="11" max="11" width="15.77734375" customWidth="1"/>
    <col min="12" max="13" width="18.77734375" customWidth="1"/>
    <col min="14" max="14" width="16.77734375" customWidth="1"/>
    <col min="15" max="15" width="14.77734375" customWidth="1"/>
    <col min="16" max="16" width="30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8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K2" t="s">
        <v>25</v>
      </c>
      <c r="P2" s="2"/>
    </row>
    <row r="3" spans="1:16" ht="28.8" x14ac:dyDescent="0.3">
      <c r="A3" t="s">
        <v>26</v>
      </c>
      <c r="B3" t="s">
        <v>17</v>
      </c>
      <c r="C3" t="s">
        <v>27</v>
      </c>
      <c r="D3" t="s">
        <v>19</v>
      </c>
      <c r="E3" t="s">
        <v>28</v>
      </c>
      <c r="F3" s="2" t="s">
        <v>29</v>
      </c>
      <c r="G3" s="2" t="s">
        <v>30</v>
      </c>
      <c r="H3" s="2" t="s">
        <v>23</v>
      </c>
      <c r="I3" s="2" t="s">
        <v>31</v>
      </c>
      <c r="K3" t="s">
        <v>25</v>
      </c>
      <c r="P3" s="2"/>
    </row>
    <row r="4" spans="1:16" x14ac:dyDescent="0.3">
      <c r="A4" t="s">
        <v>32</v>
      </c>
      <c r="B4" t="s">
        <v>17</v>
      </c>
      <c r="C4" t="s">
        <v>33</v>
      </c>
      <c r="D4" t="s">
        <v>34</v>
      </c>
      <c r="E4" t="s">
        <v>20</v>
      </c>
      <c r="F4" s="2" t="s">
        <v>35</v>
      </c>
      <c r="G4" s="2" t="s">
        <v>36</v>
      </c>
      <c r="H4" s="2" t="s">
        <v>23</v>
      </c>
      <c r="I4" s="2" t="s">
        <v>37</v>
      </c>
      <c r="K4" t="s">
        <v>25</v>
      </c>
      <c r="P4" s="2"/>
    </row>
    <row r="5" spans="1:16" ht="28.8" x14ac:dyDescent="0.3">
      <c r="A5" t="s">
        <v>38</v>
      </c>
      <c r="B5" t="s">
        <v>17</v>
      </c>
      <c r="C5" t="s">
        <v>39</v>
      </c>
      <c r="D5" t="s">
        <v>40</v>
      </c>
      <c r="E5" t="s">
        <v>41</v>
      </c>
      <c r="F5" s="2" t="s">
        <v>42</v>
      </c>
      <c r="G5" s="2" t="s">
        <v>43</v>
      </c>
      <c r="H5" s="2" t="s">
        <v>23</v>
      </c>
      <c r="I5" s="2" t="s">
        <v>44</v>
      </c>
      <c r="K5" t="s">
        <v>25</v>
      </c>
      <c r="P5" s="2"/>
    </row>
    <row r="6" spans="1:16" x14ac:dyDescent="0.3">
      <c r="A6" t="s">
        <v>45</v>
      </c>
      <c r="B6" t="s">
        <v>17</v>
      </c>
      <c r="C6" t="s">
        <v>46</v>
      </c>
      <c r="D6" t="s">
        <v>19</v>
      </c>
      <c r="E6" t="s">
        <v>41</v>
      </c>
      <c r="F6" s="2" t="s">
        <v>42</v>
      </c>
      <c r="G6" s="2" t="s">
        <v>47</v>
      </c>
      <c r="H6" s="2" t="s">
        <v>23</v>
      </c>
      <c r="I6" s="2" t="s">
        <v>48</v>
      </c>
      <c r="K6" t="s">
        <v>25</v>
      </c>
      <c r="P6" s="2"/>
    </row>
    <row r="7" spans="1:16" x14ac:dyDescent="0.3">
      <c r="A7" t="s">
        <v>49</v>
      </c>
      <c r="B7" t="s">
        <v>17</v>
      </c>
      <c r="C7" t="s">
        <v>50</v>
      </c>
      <c r="D7" t="s">
        <v>19</v>
      </c>
      <c r="E7" t="s">
        <v>41</v>
      </c>
      <c r="F7" s="2" t="s">
        <v>42</v>
      </c>
      <c r="G7" s="2" t="s">
        <v>51</v>
      </c>
      <c r="H7" s="2" t="s">
        <v>23</v>
      </c>
      <c r="I7" s="2" t="s">
        <v>52</v>
      </c>
      <c r="K7" t="s">
        <v>25</v>
      </c>
      <c r="P7" s="2"/>
    </row>
    <row r="8" spans="1:16" ht="28.8" x14ac:dyDescent="0.3">
      <c r="A8" t="s">
        <v>53</v>
      </c>
      <c r="B8" t="s">
        <v>17</v>
      </c>
      <c r="C8" t="s">
        <v>54</v>
      </c>
      <c r="D8" t="s">
        <v>34</v>
      </c>
      <c r="E8" t="s">
        <v>41</v>
      </c>
      <c r="F8" s="2" t="s">
        <v>42</v>
      </c>
      <c r="G8" s="2" t="s">
        <v>55</v>
      </c>
      <c r="H8" s="2" t="s">
        <v>23</v>
      </c>
      <c r="I8" s="2" t="s">
        <v>56</v>
      </c>
      <c r="K8" t="s">
        <v>25</v>
      </c>
      <c r="P8" s="2"/>
    </row>
    <row r="9" spans="1:16" ht="28.8" x14ac:dyDescent="0.3">
      <c r="A9" t="s">
        <v>57</v>
      </c>
      <c r="B9" t="s">
        <v>17</v>
      </c>
      <c r="C9" t="s">
        <v>58</v>
      </c>
      <c r="D9" t="s">
        <v>40</v>
      </c>
      <c r="E9" t="s">
        <v>59</v>
      </c>
      <c r="F9" s="2" t="s">
        <v>42</v>
      </c>
      <c r="G9" s="2" t="s">
        <v>60</v>
      </c>
      <c r="H9" s="2" t="s">
        <v>23</v>
      </c>
      <c r="I9" s="2" t="s">
        <v>61</v>
      </c>
      <c r="K9" t="s">
        <v>25</v>
      </c>
      <c r="P9" s="2"/>
    </row>
    <row r="10" spans="1:16" ht="28.8" x14ac:dyDescent="0.3">
      <c r="A10" t="s">
        <v>62</v>
      </c>
      <c r="B10" t="s">
        <v>17</v>
      </c>
      <c r="C10" t="s">
        <v>63</v>
      </c>
      <c r="D10" t="s">
        <v>34</v>
      </c>
      <c r="E10" t="s">
        <v>41</v>
      </c>
      <c r="F10" s="2" t="s">
        <v>64</v>
      </c>
      <c r="G10" s="2" t="s">
        <v>65</v>
      </c>
      <c r="H10" s="2" t="s">
        <v>66</v>
      </c>
      <c r="I10" s="2" t="s">
        <v>67</v>
      </c>
      <c r="K10" t="s">
        <v>25</v>
      </c>
      <c r="P10" s="2"/>
    </row>
    <row r="11" spans="1:16" ht="28.8" x14ac:dyDescent="0.3">
      <c r="A11" t="s">
        <v>68</v>
      </c>
      <c r="B11" t="s">
        <v>17</v>
      </c>
      <c r="C11" t="s">
        <v>69</v>
      </c>
      <c r="D11" t="s">
        <v>40</v>
      </c>
      <c r="E11" t="s">
        <v>41</v>
      </c>
      <c r="F11" s="2" t="s">
        <v>70</v>
      </c>
      <c r="G11" s="2" t="s">
        <v>71</v>
      </c>
      <c r="H11" s="2" t="s">
        <v>72</v>
      </c>
      <c r="I11" s="2" t="s">
        <v>73</v>
      </c>
      <c r="K11" t="s">
        <v>25</v>
      </c>
      <c r="P11" s="2"/>
    </row>
    <row r="12" spans="1:16" ht="28.8" x14ac:dyDescent="0.3">
      <c r="A12" t="s">
        <v>74</v>
      </c>
      <c r="B12" t="s">
        <v>17</v>
      </c>
      <c r="C12" t="s">
        <v>75</v>
      </c>
      <c r="D12" t="s">
        <v>40</v>
      </c>
      <c r="E12" t="s">
        <v>76</v>
      </c>
      <c r="F12" s="2" t="s">
        <v>77</v>
      </c>
      <c r="G12" s="2" t="s">
        <v>78</v>
      </c>
      <c r="H12" s="2" t="s">
        <v>23</v>
      </c>
      <c r="I12" s="2" t="s">
        <v>79</v>
      </c>
      <c r="K12" t="s">
        <v>25</v>
      </c>
      <c r="P12" s="2"/>
    </row>
    <row r="13" spans="1:16" ht="28.8" x14ac:dyDescent="0.3">
      <c r="A13" t="s">
        <v>80</v>
      </c>
      <c r="B13" t="s">
        <v>17</v>
      </c>
      <c r="C13" t="s">
        <v>81</v>
      </c>
      <c r="D13" t="s">
        <v>19</v>
      </c>
      <c r="E13" t="s">
        <v>20</v>
      </c>
      <c r="F13" s="2" t="s">
        <v>82</v>
      </c>
      <c r="G13" s="2" t="s">
        <v>83</v>
      </c>
      <c r="H13" s="2" t="s">
        <v>84</v>
      </c>
      <c r="I13" s="2" t="s">
        <v>85</v>
      </c>
      <c r="K13" t="s">
        <v>25</v>
      </c>
      <c r="P13" s="2"/>
    </row>
    <row r="14" spans="1:16" ht="28.8" x14ac:dyDescent="0.3">
      <c r="A14" t="s">
        <v>86</v>
      </c>
      <c r="B14" t="s">
        <v>87</v>
      </c>
      <c r="C14" t="s">
        <v>88</v>
      </c>
      <c r="D14" t="s">
        <v>19</v>
      </c>
      <c r="E14" t="s">
        <v>20</v>
      </c>
      <c r="F14" s="2" t="s">
        <v>89</v>
      </c>
      <c r="G14" s="2" t="s">
        <v>90</v>
      </c>
      <c r="H14" s="2" t="s">
        <v>23</v>
      </c>
      <c r="I14" s="2" t="s">
        <v>91</v>
      </c>
      <c r="K14" t="s">
        <v>25</v>
      </c>
      <c r="P14" s="2"/>
    </row>
    <row r="15" spans="1:16" ht="28.8" x14ac:dyDescent="0.3">
      <c r="A15" t="s">
        <v>92</v>
      </c>
      <c r="B15" t="s">
        <v>87</v>
      </c>
      <c r="C15" t="s">
        <v>93</v>
      </c>
      <c r="D15" t="s">
        <v>19</v>
      </c>
      <c r="E15" t="s">
        <v>20</v>
      </c>
      <c r="F15" s="2" t="s">
        <v>94</v>
      </c>
      <c r="G15" s="2" t="s">
        <v>95</v>
      </c>
      <c r="H15" s="2" t="s">
        <v>96</v>
      </c>
      <c r="I15" s="2" t="s">
        <v>97</v>
      </c>
      <c r="K15" t="s">
        <v>25</v>
      </c>
      <c r="P15" s="2"/>
    </row>
    <row r="16" spans="1:16" x14ac:dyDescent="0.3">
      <c r="A16" t="s">
        <v>98</v>
      </c>
      <c r="B16" t="s">
        <v>87</v>
      </c>
      <c r="C16" t="s">
        <v>99</v>
      </c>
      <c r="D16" t="s">
        <v>34</v>
      </c>
      <c r="E16" t="s">
        <v>20</v>
      </c>
      <c r="F16" s="2" t="s">
        <v>100</v>
      </c>
      <c r="G16" s="2" t="s">
        <v>101</v>
      </c>
      <c r="H16" s="2" t="s">
        <v>102</v>
      </c>
      <c r="I16" s="2" t="s">
        <v>103</v>
      </c>
      <c r="K16" t="s">
        <v>25</v>
      </c>
      <c r="P16" s="2"/>
    </row>
    <row r="17" spans="1:16" x14ac:dyDescent="0.3">
      <c r="A17" t="s">
        <v>104</v>
      </c>
      <c r="B17" t="s">
        <v>87</v>
      </c>
      <c r="C17" t="s">
        <v>105</v>
      </c>
      <c r="D17" t="s">
        <v>34</v>
      </c>
      <c r="E17" t="s">
        <v>20</v>
      </c>
      <c r="F17" s="2" t="s">
        <v>100</v>
      </c>
      <c r="G17" s="2" t="s">
        <v>106</v>
      </c>
      <c r="H17" s="2" t="s">
        <v>107</v>
      </c>
      <c r="I17" s="2" t="s">
        <v>108</v>
      </c>
      <c r="K17" t="s">
        <v>25</v>
      </c>
      <c r="P17" s="2"/>
    </row>
    <row r="18" spans="1:16" x14ac:dyDescent="0.3">
      <c r="A18" t="s">
        <v>109</v>
      </c>
      <c r="B18" t="s">
        <v>87</v>
      </c>
      <c r="C18" t="s">
        <v>110</v>
      </c>
      <c r="D18" t="s">
        <v>40</v>
      </c>
      <c r="E18" t="s">
        <v>41</v>
      </c>
      <c r="F18" s="2" t="s">
        <v>111</v>
      </c>
      <c r="G18" s="2" t="s">
        <v>112</v>
      </c>
      <c r="H18" s="2" t="s">
        <v>113</v>
      </c>
      <c r="I18" s="2" t="s">
        <v>114</v>
      </c>
      <c r="K18" t="s">
        <v>25</v>
      </c>
      <c r="P18" s="2"/>
    </row>
    <row r="19" spans="1:16" x14ac:dyDescent="0.3">
      <c r="A19" t="s">
        <v>115</v>
      </c>
      <c r="B19" t="s">
        <v>87</v>
      </c>
      <c r="C19" t="s">
        <v>116</v>
      </c>
      <c r="D19" t="s">
        <v>19</v>
      </c>
      <c r="E19" t="s">
        <v>117</v>
      </c>
      <c r="F19" s="2" t="s">
        <v>118</v>
      </c>
      <c r="G19" s="2" t="s">
        <v>119</v>
      </c>
      <c r="H19" s="2" t="s">
        <v>120</v>
      </c>
      <c r="I19" s="2" t="s">
        <v>121</v>
      </c>
      <c r="K19" t="s">
        <v>25</v>
      </c>
      <c r="P19" s="2"/>
    </row>
    <row r="20" spans="1:16" ht="28.8" x14ac:dyDescent="0.3">
      <c r="A20" t="s">
        <v>122</v>
      </c>
      <c r="B20" t="s">
        <v>87</v>
      </c>
      <c r="C20" t="s">
        <v>123</v>
      </c>
      <c r="D20" t="s">
        <v>34</v>
      </c>
      <c r="E20" t="s">
        <v>117</v>
      </c>
      <c r="F20" s="2" t="s">
        <v>124</v>
      </c>
      <c r="G20" s="2" t="s">
        <v>125</v>
      </c>
      <c r="H20" s="2" t="s">
        <v>120</v>
      </c>
      <c r="I20" s="2" t="s">
        <v>126</v>
      </c>
      <c r="K20" t="s">
        <v>25</v>
      </c>
      <c r="P20" s="2"/>
    </row>
    <row r="21" spans="1:16" x14ac:dyDescent="0.3">
      <c r="A21" t="s">
        <v>127</v>
      </c>
      <c r="B21" t="s">
        <v>87</v>
      </c>
      <c r="C21" t="s">
        <v>128</v>
      </c>
      <c r="D21" t="s">
        <v>19</v>
      </c>
      <c r="E21" t="s">
        <v>129</v>
      </c>
      <c r="F21" s="2" t="s">
        <v>130</v>
      </c>
      <c r="G21" s="2" t="s">
        <v>131</v>
      </c>
      <c r="H21" s="2" t="s">
        <v>132</v>
      </c>
      <c r="I21" s="2" t="s">
        <v>133</v>
      </c>
      <c r="K21" t="s">
        <v>25</v>
      </c>
      <c r="P21" s="2"/>
    </row>
    <row r="22" spans="1:16" x14ac:dyDescent="0.3">
      <c r="A22" t="s">
        <v>134</v>
      </c>
      <c r="B22" t="s">
        <v>87</v>
      </c>
      <c r="C22" t="s">
        <v>135</v>
      </c>
      <c r="D22" t="s">
        <v>19</v>
      </c>
      <c r="E22" t="s">
        <v>129</v>
      </c>
      <c r="F22" s="2" t="s">
        <v>130</v>
      </c>
      <c r="G22" s="2" t="s">
        <v>136</v>
      </c>
      <c r="H22" s="2" t="s">
        <v>137</v>
      </c>
      <c r="I22" s="2" t="s">
        <v>138</v>
      </c>
      <c r="K22" t="s">
        <v>25</v>
      </c>
      <c r="P22" s="2"/>
    </row>
    <row r="23" spans="1:16" x14ac:dyDescent="0.3">
      <c r="A23" t="s">
        <v>139</v>
      </c>
      <c r="B23" t="s">
        <v>87</v>
      </c>
      <c r="C23" t="s">
        <v>140</v>
      </c>
      <c r="D23" t="s">
        <v>19</v>
      </c>
      <c r="E23" t="s">
        <v>28</v>
      </c>
      <c r="F23" s="2" t="s">
        <v>141</v>
      </c>
      <c r="G23" s="2" t="s">
        <v>142</v>
      </c>
      <c r="H23" s="2" t="s">
        <v>143</v>
      </c>
      <c r="I23" s="2" t="s">
        <v>144</v>
      </c>
      <c r="K23" t="s">
        <v>25</v>
      </c>
      <c r="P23" s="2"/>
    </row>
    <row r="24" spans="1:16" ht="28.8" x14ac:dyDescent="0.3">
      <c r="A24" t="s">
        <v>145</v>
      </c>
      <c r="B24" t="s">
        <v>87</v>
      </c>
      <c r="C24" t="s">
        <v>146</v>
      </c>
      <c r="D24" t="s">
        <v>34</v>
      </c>
      <c r="E24" t="s">
        <v>20</v>
      </c>
      <c r="F24" s="2" t="s">
        <v>147</v>
      </c>
      <c r="G24" s="2" t="s">
        <v>148</v>
      </c>
      <c r="H24" s="2" t="s">
        <v>23</v>
      </c>
      <c r="I24" s="2" t="s">
        <v>149</v>
      </c>
      <c r="K24" t="s">
        <v>25</v>
      </c>
      <c r="P24" s="2"/>
    </row>
    <row r="25" spans="1:16" x14ac:dyDescent="0.3">
      <c r="A25" t="s">
        <v>150</v>
      </c>
      <c r="B25" t="s">
        <v>87</v>
      </c>
      <c r="C25" t="s">
        <v>151</v>
      </c>
      <c r="D25" t="s">
        <v>40</v>
      </c>
      <c r="E25" t="s">
        <v>152</v>
      </c>
      <c r="F25" s="2" t="s">
        <v>153</v>
      </c>
      <c r="G25" s="2" t="s">
        <v>154</v>
      </c>
      <c r="H25" s="2" t="s">
        <v>23</v>
      </c>
      <c r="I25" s="2" t="s">
        <v>155</v>
      </c>
      <c r="K25" t="s">
        <v>25</v>
      </c>
      <c r="P25" s="2"/>
    </row>
    <row r="26" spans="1:16" x14ac:dyDescent="0.3">
      <c r="A26" t="s">
        <v>156</v>
      </c>
      <c r="B26" t="s">
        <v>87</v>
      </c>
      <c r="C26" t="s">
        <v>157</v>
      </c>
      <c r="D26" t="s">
        <v>40</v>
      </c>
      <c r="E26" t="s">
        <v>41</v>
      </c>
      <c r="F26" s="2" t="s">
        <v>158</v>
      </c>
      <c r="G26" s="2" t="s">
        <v>159</v>
      </c>
      <c r="H26" s="2" t="s">
        <v>160</v>
      </c>
      <c r="I26" s="2" t="s">
        <v>161</v>
      </c>
      <c r="K26" t="s">
        <v>25</v>
      </c>
      <c r="P26" s="2"/>
    </row>
    <row r="27" spans="1:16" ht="28.8" x14ac:dyDescent="0.3">
      <c r="A27" t="s">
        <v>162</v>
      </c>
      <c r="B27" t="s">
        <v>87</v>
      </c>
      <c r="C27" t="s">
        <v>163</v>
      </c>
      <c r="D27" t="s">
        <v>19</v>
      </c>
      <c r="E27" t="s">
        <v>20</v>
      </c>
      <c r="F27" s="2" t="s">
        <v>164</v>
      </c>
      <c r="G27" s="2" t="s">
        <v>165</v>
      </c>
      <c r="H27" s="2" t="s">
        <v>23</v>
      </c>
      <c r="I27" s="2" t="s">
        <v>166</v>
      </c>
      <c r="K27" t="s">
        <v>25</v>
      </c>
      <c r="P27" s="2"/>
    </row>
    <row r="28" spans="1:16" x14ac:dyDescent="0.3">
      <c r="A28" t="s">
        <v>167</v>
      </c>
      <c r="B28" t="s">
        <v>168</v>
      </c>
      <c r="C28" t="s">
        <v>169</v>
      </c>
      <c r="D28" t="s">
        <v>19</v>
      </c>
      <c r="E28" t="s">
        <v>20</v>
      </c>
      <c r="F28" s="2" t="s">
        <v>170</v>
      </c>
      <c r="G28" s="2" t="s">
        <v>171</v>
      </c>
      <c r="H28" s="2" t="s">
        <v>23</v>
      </c>
      <c r="I28" s="2" t="s">
        <v>172</v>
      </c>
      <c r="K28" t="s">
        <v>25</v>
      </c>
      <c r="P28" s="2"/>
    </row>
    <row r="29" spans="1:16" x14ac:dyDescent="0.3">
      <c r="A29" t="s">
        <v>173</v>
      </c>
      <c r="B29" t="s">
        <v>168</v>
      </c>
      <c r="C29" t="s">
        <v>174</v>
      </c>
      <c r="D29" t="s">
        <v>34</v>
      </c>
      <c r="E29" t="s">
        <v>20</v>
      </c>
      <c r="F29" s="2" t="s">
        <v>175</v>
      </c>
      <c r="G29" s="2" t="s">
        <v>176</v>
      </c>
      <c r="H29" s="2" t="s">
        <v>177</v>
      </c>
      <c r="I29" s="2" t="s">
        <v>178</v>
      </c>
      <c r="K29" t="s">
        <v>25</v>
      </c>
      <c r="P29" s="2"/>
    </row>
    <row r="30" spans="1:16" ht="28.8" x14ac:dyDescent="0.3">
      <c r="A30" t="s">
        <v>179</v>
      </c>
      <c r="B30" t="s">
        <v>168</v>
      </c>
      <c r="C30" t="s">
        <v>180</v>
      </c>
      <c r="D30" t="s">
        <v>34</v>
      </c>
      <c r="E30" t="s">
        <v>20</v>
      </c>
      <c r="F30" s="2" t="s">
        <v>175</v>
      </c>
      <c r="G30" s="2" t="s">
        <v>181</v>
      </c>
      <c r="H30" s="2" t="s">
        <v>182</v>
      </c>
      <c r="I30" s="2" t="s">
        <v>183</v>
      </c>
      <c r="K30" t="s">
        <v>25</v>
      </c>
      <c r="P30" s="2"/>
    </row>
    <row r="31" spans="1:16" x14ac:dyDescent="0.3">
      <c r="A31" t="s">
        <v>184</v>
      </c>
      <c r="B31" t="s">
        <v>168</v>
      </c>
      <c r="C31" t="s">
        <v>185</v>
      </c>
      <c r="D31" t="s">
        <v>40</v>
      </c>
      <c r="E31" t="s">
        <v>117</v>
      </c>
      <c r="F31" s="2" t="s">
        <v>175</v>
      </c>
      <c r="G31" s="2" t="s">
        <v>186</v>
      </c>
      <c r="H31" s="2" t="s">
        <v>187</v>
      </c>
      <c r="I31" s="2" t="s">
        <v>188</v>
      </c>
      <c r="K31" t="s">
        <v>25</v>
      </c>
      <c r="P31" s="2"/>
    </row>
    <row r="32" spans="1:16" x14ac:dyDescent="0.3">
      <c r="A32" t="s">
        <v>189</v>
      </c>
      <c r="B32" t="s">
        <v>168</v>
      </c>
      <c r="C32" t="s">
        <v>190</v>
      </c>
      <c r="D32" t="s">
        <v>19</v>
      </c>
      <c r="E32" t="s">
        <v>117</v>
      </c>
      <c r="F32" s="2" t="s">
        <v>175</v>
      </c>
      <c r="G32" s="2" t="s">
        <v>191</v>
      </c>
      <c r="H32" s="2" t="s">
        <v>192</v>
      </c>
      <c r="I32" s="2" t="s">
        <v>193</v>
      </c>
      <c r="K32" t="s">
        <v>25</v>
      </c>
      <c r="P32" s="2"/>
    </row>
    <row r="33" spans="1:16" x14ac:dyDescent="0.3">
      <c r="A33" t="s">
        <v>194</v>
      </c>
      <c r="B33" t="s">
        <v>168</v>
      </c>
      <c r="C33" t="s">
        <v>195</v>
      </c>
      <c r="D33" t="s">
        <v>19</v>
      </c>
      <c r="E33" t="s">
        <v>117</v>
      </c>
      <c r="F33" s="2" t="s">
        <v>196</v>
      </c>
      <c r="G33" s="2" t="s">
        <v>197</v>
      </c>
      <c r="H33" s="2" t="s">
        <v>198</v>
      </c>
      <c r="I33" s="2" t="s">
        <v>199</v>
      </c>
      <c r="K33" t="s">
        <v>25</v>
      </c>
      <c r="P33" s="2"/>
    </row>
    <row r="34" spans="1:16" x14ac:dyDescent="0.3">
      <c r="A34" t="s">
        <v>200</v>
      </c>
      <c r="B34" t="s">
        <v>168</v>
      </c>
      <c r="C34" t="s">
        <v>201</v>
      </c>
      <c r="D34" t="s">
        <v>19</v>
      </c>
      <c r="E34" t="s">
        <v>117</v>
      </c>
      <c r="F34" s="2" t="s">
        <v>196</v>
      </c>
      <c r="G34" s="2" t="s">
        <v>202</v>
      </c>
      <c r="H34" s="2" t="s">
        <v>203</v>
      </c>
      <c r="I34" s="2" t="s">
        <v>204</v>
      </c>
      <c r="K34" t="s">
        <v>25</v>
      </c>
      <c r="P34" s="2"/>
    </row>
    <row r="35" spans="1:16" x14ac:dyDescent="0.3">
      <c r="A35" t="s">
        <v>205</v>
      </c>
      <c r="B35" t="s">
        <v>168</v>
      </c>
      <c r="C35" t="s">
        <v>206</v>
      </c>
      <c r="D35" t="s">
        <v>34</v>
      </c>
      <c r="E35" t="s">
        <v>207</v>
      </c>
      <c r="F35" s="2" t="s">
        <v>208</v>
      </c>
      <c r="G35" s="2" t="s">
        <v>209</v>
      </c>
      <c r="H35" s="2" t="s">
        <v>210</v>
      </c>
      <c r="I35" s="2" t="s">
        <v>211</v>
      </c>
      <c r="K35" t="s">
        <v>25</v>
      </c>
      <c r="P35" s="2"/>
    </row>
    <row r="36" spans="1:16" x14ac:dyDescent="0.3">
      <c r="A36" t="s">
        <v>212</v>
      </c>
      <c r="B36" t="s">
        <v>168</v>
      </c>
      <c r="C36" t="s">
        <v>213</v>
      </c>
      <c r="D36" t="s">
        <v>34</v>
      </c>
      <c r="E36" t="s">
        <v>207</v>
      </c>
      <c r="F36" s="2" t="s">
        <v>214</v>
      </c>
      <c r="G36" s="2" t="s">
        <v>215</v>
      </c>
      <c r="H36" s="2" t="s">
        <v>23</v>
      </c>
      <c r="I36" s="2" t="s">
        <v>216</v>
      </c>
      <c r="K36" t="s">
        <v>25</v>
      </c>
      <c r="P36" s="2"/>
    </row>
    <row r="37" spans="1:16" ht="28.8" x14ac:dyDescent="0.3">
      <c r="A37" t="s">
        <v>217</v>
      </c>
      <c r="B37" t="s">
        <v>168</v>
      </c>
      <c r="C37" t="s">
        <v>218</v>
      </c>
      <c r="D37" t="s">
        <v>40</v>
      </c>
      <c r="E37" t="s">
        <v>117</v>
      </c>
      <c r="F37" s="2" t="s">
        <v>175</v>
      </c>
      <c r="G37" s="2" t="s">
        <v>219</v>
      </c>
      <c r="H37" s="3">
        <v>25569</v>
      </c>
      <c r="I37" s="2" t="s">
        <v>220</v>
      </c>
      <c r="K37" t="s">
        <v>25</v>
      </c>
      <c r="P37" s="2"/>
    </row>
    <row r="38" spans="1:16" ht="28.8" x14ac:dyDescent="0.3">
      <c r="A38" t="s">
        <v>221</v>
      </c>
      <c r="B38" t="s">
        <v>168</v>
      </c>
      <c r="C38" t="s">
        <v>222</v>
      </c>
      <c r="D38" t="s">
        <v>40</v>
      </c>
      <c r="E38" t="s">
        <v>117</v>
      </c>
      <c r="F38" s="2" t="s">
        <v>175</v>
      </c>
      <c r="G38" s="2" t="s">
        <v>223</v>
      </c>
      <c r="H38" s="3">
        <v>73051</v>
      </c>
      <c r="I38" s="2" t="s">
        <v>220</v>
      </c>
      <c r="K38" t="s">
        <v>25</v>
      </c>
      <c r="P38" s="2"/>
    </row>
    <row r="39" spans="1:16" x14ac:dyDescent="0.3">
      <c r="A39" t="s">
        <v>224</v>
      </c>
      <c r="B39" t="s">
        <v>168</v>
      </c>
      <c r="C39" t="s">
        <v>225</v>
      </c>
      <c r="D39" t="s">
        <v>40</v>
      </c>
      <c r="E39" t="s">
        <v>117</v>
      </c>
      <c r="F39" s="2" t="s">
        <v>226</v>
      </c>
      <c r="G39" s="2" t="s">
        <v>227</v>
      </c>
      <c r="H39" s="2" t="s">
        <v>228</v>
      </c>
      <c r="I39" s="2" t="s">
        <v>229</v>
      </c>
      <c r="K39" t="s">
        <v>25</v>
      </c>
      <c r="P39" s="2"/>
    </row>
    <row r="40" spans="1:16" x14ac:dyDescent="0.3">
      <c r="A40" t="s">
        <v>230</v>
      </c>
      <c r="B40" t="s">
        <v>168</v>
      </c>
      <c r="C40" t="s">
        <v>231</v>
      </c>
      <c r="D40" t="s">
        <v>40</v>
      </c>
      <c r="E40" t="s">
        <v>41</v>
      </c>
      <c r="F40" s="2" t="s">
        <v>232</v>
      </c>
      <c r="G40" s="2" t="s">
        <v>233</v>
      </c>
      <c r="H40" s="2" t="s">
        <v>23</v>
      </c>
      <c r="I40" s="2" t="s">
        <v>234</v>
      </c>
      <c r="K40" t="s">
        <v>25</v>
      </c>
      <c r="P40" s="2"/>
    </row>
    <row r="41" spans="1:16" x14ac:dyDescent="0.3">
      <c r="A41" t="s">
        <v>235</v>
      </c>
      <c r="B41" t="s">
        <v>168</v>
      </c>
      <c r="C41" t="s">
        <v>236</v>
      </c>
      <c r="D41" t="s">
        <v>40</v>
      </c>
      <c r="E41" t="s">
        <v>41</v>
      </c>
      <c r="F41" s="2" t="s">
        <v>237</v>
      </c>
      <c r="G41" s="2" t="s">
        <v>238</v>
      </c>
      <c r="H41" s="2" t="s">
        <v>239</v>
      </c>
      <c r="I41" s="2" t="s">
        <v>240</v>
      </c>
      <c r="K41" t="s">
        <v>25</v>
      </c>
      <c r="P41" s="2"/>
    </row>
    <row r="42" spans="1:16" x14ac:dyDescent="0.3">
      <c r="A42" t="s">
        <v>241</v>
      </c>
      <c r="B42" t="s">
        <v>242</v>
      </c>
      <c r="C42" t="s">
        <v>169</v>
      </c>
      <c r="D42" t="s">
        <v>19</v>
      </c>
      <c r="E42" t="s">
        <v>20</v>
      </c>
      <c r="F42" s="2" t="s">
        <v>243</v>
      </c>
      <c r="G42" s="2" t="s">
        <v>244</v>
      </c>
      <c r="H42" s="2" t="s">
        <v>23</v>
      </c>
      <c r="I42" s="2" t="s">
        <v>245</v>
      </c>
      <c r="K42" t="s">
        <v>25</v>
      </c>
      <c r="P42" s="2"/>
    </row>
    <row r="43" spans="1:16" x14ac:dyDescent="0.3">
      <c r="A43" t="s">
        <v>246</v>
      </c>
      <c r="B43" t="s">
        <v>242</v>
      </c>
      <c r="C43" t="s">
        <v>247</v>
      </c>
      <c r="D43" t="s">
        <v>19</v>
      </c>
      <c r="E43" t="s">
        <v>20</v>
      </c>
      <c r="F43" s="2" t="s">
        <v>248</v>
      </c>
      <c r="G43" s="2" t="s">
        <v>249</v>
      </c>
      <c r="H43" s="2">
        <v>1</v>
      </c>
      <c r="I43" s="2" t="s">
        <v>250</v>
      </c>
      <c r="K43" t="s">
        <v>25</v>
      </c>
      <c r="P43" s="2"/>
    </row>
    <row r="44" spans="1:16" x14ac:dyDescent="0.3">
      <c r="A44" t="s">
        <v>251</v>
      </c>
      <c r="B44" t="s">
        <v>242</v>
      </c>
      <c r="C44" t="s">
        <v>252</v>
      </c>
      <c r="D44" t="s">
        <v>19</v>
      </c>
      <c r="E44" t="s">
        <v>20</v>
      </c>
      <c r="F44" s="2" t="s">
        <v>253</v>
      </c>
      <c r="G44" s="2" t="s">
        <v>254</v>
      </c>
      <c r="H44" s="2" t="s">
        <v>255</v>
      </c>
      <c r="I44" s="2" t="s">
        <v>256</v>
      </c>
      <c r="K44" t="s">
        <v>25</v>
      </c>
      <c r="P44" s="2"/>
    </row>
    <row r="45" spans="1:16" x14ac:dyDescent="0.3">
      <c r="A45" t="s">
        <v>257</v>
      </c>
      <c r="B45" t="s">
        <v>242</v>
      </c>
      <c r="C45" t="s">
        <v>258</v>
      </c>
      <c r="D45" t="s">
        <v>34</v>
      </c>
      <c r="E45" t="s">
        <v>20</v>
      </c>
      <c r="F45" s="2" t="s">
        <v>175</v>
      </c>
      <c r="G45" s="2" t="s">
        <v>259</v>
      </c>
      <c r="H45" s="2">
        <v>0</v>
      </c>
      <c r="I45" s="2" t="s">
        <v>260</v>
      </c>
      <c r="K45" t="s">
        <v>25</v>
      </c>
      <c r="P45" s="2"/>
    </row>
    <row r="46" spans="1:16" x14ac:dyDescent="0.3">
      <c r="A46" t="s">
        <v>261</v>
      </c>
      <c r="B46" t="s">
        <v>242</v>
      </c>
      <c r="C46" t="s">
        <v>262</v>
      </c>
      <c r="D46" t="s">
        <v>19</v>
      </c>
      <c r="E46" t="s">
        <v>117</v>
      </c>
      <c r="F46" s="2" t="s">
        <v>263</v>
      </c>
      <c r="G46" s="2" t="s">
        <v>264</v>
      </c>
      <c r="H46" s="2">
        <v>-1</v>
      </c>
      <c r="I46" s="2" t="s">
        <v>265</v>
      </c>
      <c r="K46" t="s">
        <v>25</v>
      </c>
      <c r="P46" s="2"/>
    </row>
    <row r="47" spans="1:16" x14ac:dyDescent="0.3">
      <c r="A47" t="s">
        <v>266</v>
      </c>
      <c r="B47" t="s">
        <v>242</v>
      </c>
      <c r="C47" t="s">
        <v>267</v>
      </c>
      <c r="D47" t="s">
        <v>19</v>
      </c>
      <c r="E47" t="s">
        <v>129</v>
      </c>
      <c r="F47" s="2" t="s">
        <v>268</v>
      </c>
      <c r="G47" s="2" t="s">
        <v>269</v>
      </c>
      <c r="H47" s="2">
        <v>-1</v>
      </c>
      <c r="I47" s="2" t="s">
        <v>270</v>
      </c>
      <c r="K47" t="s">
        <v>25</v>
      </c>
      <c r="P47" s="2"/>
    </row>
    <row r="48" spans="1:16" x14ac:dyDescent="0.3">
      <c r="A48" t="s">
        <v>271</v>
      </c>
      <c r="B48" t="s">
        <v>242</v>
      </c>
      <c r="C48" t="s">
        <v>272</v>
      </c>
      <c r="D48" t="s">
        <v>19</v>
      </c>
      <c r="E48" t="s">
        <v>117</v>
      </c>
      <c r="F48" s="2" t="s">
        <v>263</v>
      </c>
      <c r="G48" s="2" t="s">
        <v>273</v>
      </c>
      <c r="H48" s="2">
        <v>1.5</v>
      </c>
      <c r="I48" s="2" t="s">
        <v>274</v>
      </c>
      <c r="K48" t="s">
        <v>25</v>
      </c>
      <c r="P48" s="2"/>
    </row>
    <row r="49" spans="1:16" x14ac:dyDescent="0.3">
      <c r="A49" t="s">
        <v>275</v>
      </c>
      <c r="B49" t="s">
        <v>242</v>
      </c>
      <c r="C49" t="s">
        <v>276</v>
      </c>
      <c r="D49" t="s">
        <v>19</v>
      </c>
      <c r="E49" t="s">
        <v>129</v>
      </c>
      <c r="F49" s="2" t="s">
        <v>268</v>
      </c>
      <c r="G49" s="2" t="s">
        <v>277</v>
      </c>
      <c r="H49" s="2">
        <v>1.5</v>
      </c>
      <c r="I49" s="2" t="s">
        <v>278</v>
      </c>
      <c r="K49" t="s">
        <v>25</v>
      </c>
      <c r="P49" s="2"/>
    </row>
    <row r="50" spans="1:16" x14ac:dyDescent="0.3">
      <c r="A50" t="s">
        <v>279</v>
      </c>
      <c r="B50" t="s">
        <v>242</v>
      </c>
      <c r="C50" t="s">
        <v>280</v>
      </c>
      <c r="D50" t="s">
        <v>19</v>
      </c>
      <c r="E50" t="s">
        <v>117</v>
      </c>
      <c r="F50" s="2" t="s">
        <v>281</v>
      </c>
      <c r="G50" s="2" t="s">
        <v>282</v>
      </c>
      <c r="H50" s="2" t="s">
        <v>203</v>
      </c>
      <c r="I50" s="2" t="s">
        <v>283</v>
      </c>
      <c r="K50" t="s">
        <v>25</v>
      </c>
      <c r="P50" s="2"/>
    </row>
    <row r="51" spans="1:16" x14ac:dyDescent="0.3">
      <c r="A51" t="s">
        <v>284</v>
      </c>
      <c r="B51" t="s">
        <v>242</v>
      </c>
      <c r="C51" t="s">
        <v>285</v>
      </c>
      <c r="D51" t="s">
        <v>19</v>
      </c>
      <c r="E51" t="s">
        <v>117</v>
      </c>
      <c r="F51" s="2" t="s">
        <v>281</v>
      </c>
      <c r="G51" s="2" t="s">
        <v>286</v>
      </c>
      <c r="H51" s="2" t="s">
        <v>287</v>
      </c>
      <c r="I51" s="2" t="s">
        <v>288</v>
      </c>
      <c r="K51" t="s">
        <v>25</v>
      </c>
      <c r="P51" s="2"/>
    </row>
    <row r="52" spans="1:16" x14ac:dyDescent="0.3">
      <c r="A52" t="s">
        <v>289</v>
      </c>
      <c r="B52" t="s">
        <v>242</v>
      </c>
      <c r="C52" t="s">
        <v>290</v>
      </c>
      <c r="D52" t="s">
        <v>40</v>
      </c>
      <c r="E52" t="s">
        <v>117</v>
      </c>
      <c r="F52" s="2" t="s">
        <v>281</v>
      </c>
      <c r="G52" s="2" t="s">
        <v>291</v>
      </c>
      <c r="H52" s="2">
        <v>5</v>
      </c>
      <c r="I52" s="2" t="s">
        <v>292</v>
      </c>
      <c r="K52" t="s">
        <v>25</v>
      </c>
      <c r="P52" s="2"/>
    </row>
    <row r="53" spans="1:16" x14ac:dyDescent="0.3">
      <c r="A53" t="s">
        <v>293</v>
      </c>
      <c r="B53" t="s">
        <v>242</v>
      </c>
      <c r="C53" t="s">
        <v>294</v>
      </c>
      <c r="D53" t="s">
        <v>40</v>
      </c>
      <c r="E53" t="s">
        <v>117</v>
      </c>
      <c r="F53" s="2" t="s">
        <v>281</v>
      </c>
      <c r="G53" s="2" t="s">
        <v>295</v>
      </c>
      <c r="H53" s="2">
        <v>7</v>
      </c>
      <c r="I53" s="2" t="s">
        <v>296</v>
      </c>
      <c r="K53" t="s">
        <v>25</v>
      </c>
      <c r="P53" s="2"/>
    </row>
    <row r="54" spans="1:16" x14ac:dyDescent="0.3">
      <c r="A54" t="s">
        <v>297</v>
      </c>
      <c r="B54" t="s">
        <v>242</v>
      </c>
      <c r="C54" t="s">
        <v>298</v>
      </c>
      <c r="D54" t="s">
        <v>19</v>
      </c>
      <c r="E54" t="s">
        <v>117</v>
      </c>
      <c r="F54" s="2" t="s">
        <v>299</v>
      </c>
      <c r="G54" s="2" t="s">
        <v>300</v>
      </c>
      <c r="H54" s="2" t="s">
        <v>301</v>
      </c>
      <c r="I54" s="2" t="s">
        <v>302</v>
      </c>
      <c r="K54" t="s">
        <v>25</v>
      </c>
      <c r="P54" s="2"/>
    </row>
    <row r="55" spans="1:16" x14ac:dyDescent="0.3">
      <c r="A55" t="s">
        <v>303</v>
      </c>
      <c r="B55" t="s">
        <v>242</v>
      </c>
      <c r="C55" t="s">
        <v>304</v>
      </c>
      <c r="D55" t="s">
        <v>19</v>
      </c>
      <c r="E55" t="s">
        <v>305</v>
      </c>
      <c r="F55" s="2" t="s">
        <v>306</v>
      </c>
      <c r="G55" s="2" t="s">
        <v>307</v>
      </c>
      <c r="H55" s="2" t="s">
        <v>308</v>
      </c>
      <c r="I55" s="2" t="s">
        <v>309</v>
      </c>
      <c r="K55" t="s">
        <v>25</v>
      </c>
      <c r="P55" s="2"/>
    </row>
    <row r="56" spans="1:16" x14ac:dyDescent="0.3">
      <c r="A56" t="s">
        <v>310</v>
      </c>
      <c r="B56" t="s">
        <v>242</v>
      </c>
      <c r="C56" t="s">
        <v>311</v>
      </c>
      <c r="D56" t="s">
        <v>19</v>
      </c>
      <c r="E56" t="s">
        <v>305</v>
      </c>
      <c r="F56" s="2" t="s">
        <v>312</v>
      </c>
      <c r="G56" s="2" t="s">
        <v>313</v>
      </c>
      <c r="H56" s="2" t="s">
        <v>314</v>
      </c>
      <c r="I56" s="2" t="s">
        <v>315</v>
      </c>
      <c r="K56" t="s">
        <v>25</v>
      </c>
      <c r="P56" s="2"/>
    </row>
    <row r="57" spans="1:16" ht="28.8" x14ac:dyDescent="0.3">
      <c r="A57" t="s">
        <v>316</v>
      </c>
      <c r="B57" t="s">
        <v>242</v>
      </c>
      <c r="C57" t="s">
        <v>317</v>
      </c>
      <c r="D57" t="s">
        <v>19</v>
      </c>
      <c r="E57" t="s">
        <v>76</v>
      </c>
      <c r="F57" s="2" t="s">
        <v>318</v>
      </c>
      <c r="G57" s="2" t="s">
        <v>319</v>
      </c>
      <c r="H57" s="2" t="s">
        <v>23</v>
      </c>
      <c r="I57" s="2" t="s">
        <v>320</v>
      </c>
      <c r="K57" t="s">
        <v>25</v>
      </c>
      <c r="P57" s="2"/>
    </row>
    <row r="58" spans="1:16" x14ac:dyDescent="0.3">
      <c r="A58" t="s">
        <v>321</v>
      </c>
      <c r="B58" t="s">
        <v>242</v>
      </c>
      <c r="C58" t="s">
        <v>322</v>
      </c>
      <c r="D58" t="s">
        <v>34</v>
      </c>
      <c r="E58" t="s">
        <v>76</v>
      </c>
      <c r="F58" s="2" t="s">
        <v>323</v>
      </c>
      <c r="G58" s="2" t="s">
        <v>324</v>
      </c>
      <c r="H58" s="2">
        <v>1000000</v>
      </c>
      <c r="I58" s="2" t="s">
        <v>325</v>
      </c>
      <c r="K58" t="s">
        <v>25</v>
      </c>
      <c r="P58" s="2"/>
    </row>
    <row r="59" spans="1:16" x14ac:dyDescent="0.3">
      <c r="A59" t="s">
        <v>326</v>
      </c>
      <c r="B59" t="s">
        <v>242</v>
      </c>
      <c r="C59" t="s">
        <v>327</v>
      </c>
      <c r="D59" t="s">
        <v>34</v>
      </c>
      <c r="E59" t="s">
        <v>41</v>
      </c>
      <c r="F59" s="2" t="s">
        <v>328</v>
      </c>
      <c r="G59" s="2" t="s">
        <v>329</v>
      </c>
      <c r="H59" s="2" t="s">
        <v>330</v>
      </c>
      <c r="I59" s="2" t="s">
        <v>331</v>
      </c>
      <c r="K59" t="s">
        <v>25</v>
      </c>
      <c r="P59" s="2"/>
    </row>
    <row r="60" spans="1:16" x14ac:dyDescent="0.3">
      <c r="A60" t="s">
        <v>332</v>
      </c>
      <c r="B60" t="s">
        <v>333</v>
      </c>
      <c r="C60" t="s">
        <v>334</v>
      </c>
      <c r="D60" t="s">
        <v>19</v>
      </c>
      <c r="E60" t="s">
        <v>20</v>
      </c>
      <c r="F60" s="2" t="s">
        <v>243</v>
      </c>
      <c r="G60" s="2" t="s">
        <v>335</v>
      </c>
      <c r="H60" s="2" t="s">
        <v>23</v>
      </c>
      <c r="I60" s="2" t="s">
        <v>336</v>
      </c>
      <c r="K60" t="s">
        <v>25</v>
      </c>
      <c r="P60" s="2"/>
    </row>
    <row r="61" spans="1:16" x14ac:dyDescent="0.3">
      <c r="A61" t="s">
        <v>337</v>
      </c>
      <c r="B61" t="s">
        <v>333</v>
      </c>
      <c r="C61" t="s">
        <v>258</v>
      </c>
      <c r="D61" t="s">
        <v>34</v>
      </c>
      <c r="E61" t="s">
        <v>20</v>
      </c>
      <c r="F61" s="2" t="s">
        <v>175</v>
      </c>
      <c r="G61" s="2" t="s">
        <v>338</v>
      </c>
      <c r="H61" s="2">
        <v>0</v>
      </c>
      <c r="I61" s="2" t="s">
        <v>339</v>
      </c>
      <c r="K61" t="s">
        <v>25</v>
      </c>
      <c r="P61" s="2"/>
    </row>
    <row r="62" spans="1:16" x14ac:dyDescent="0.3">
      <c r="A62" t="s">
        <v>340</v>
      </c>
      <c r="B62" t="s">
        <v>333</v>
      </c>
      <c r="C62" t="s">
        <v>341</v>
      </c>
      <c r="D62" t="s">
        <v>19</v>
      </c>
      <c r="E62" t="s">
        <v>20</v>
      </c>
      <c r="F62" s="2" t="s">
        <v>175</v>
      </c>
      <c r="G62" s="2" t="s">
        <v>342</v>
      </c>
      <c r="H62" s="2">
        <v>1</v>
      </c>
      <c r="I62" s="2" t="s">
        <v>250</v>
      </c>
      <c r="K62" t="s">
        <v>25</v>
      </c>
      <c r="P62" s="2"/>
    </row>
    <row r="63" spans="1:16" x14ac:dyDescent="0.3">
      <c r="A63" t="s">
        <v>343</v>
      </c>
      <c r="B63" t="s">
        <v>333</v>
      </c>
      <c r="C63" t="s">
        <v>344</v>
      </c>
      <c r="D63" t="s">
        <v>34</v>
      </c>
      <c r="E63" t="s">
        <v>76</v>
      </c>
      <c r="F63" s="2" t="s">
        <v>175</v>
      </c>
      <c r="G63" s="2" t="s">
        <v>345</v>
      </c>
      <c r="H63" s="2">
        <v>100000000</v>
      </c>
      <c r="I63" s="2" t="s">
        <v>346</v>
      </c>
      <c r="K63" t="s">
        <v>25</v>
      </c>
      <c r="P63" s="2"/>
    </row>
    <row r="64" spans="1:16" x14ac:dyDescent="0.3">
      <c r="A64" t="s">
        <v>347</v>
      </c>
      <c r="B64" t="s">
        <v>333</v>
      </c>
      <c r="C64" t="s">
        <v>262</v>
      </c>
      <c r="D64" t="s">
        <v>19</v>
      </c>
      <c r="E64" t="s">
        <v>117</v>
      </c>
      <c r="F64" s="2" t="s">
        <v>263</v>
      </c>
      <c r="G64" s="2" t="s">
        <v>264</v>
      </c>
      <c r="H64" s="2">
        <v>-1</v>
      </c>
      <c r="I64" s="2" t="s">
        <v>348</v>
      </c>
      <c r="K64" t="s">
        <v>25</v>
      </c>
      <c r="P64" s="2"/>
    </row>
    <row r="65" spans="1:16" x14ac:dyDescent="0.3">
      <c r="A65" t="s">
        <v>349</v>
      </c>
      <c r="B65" t="s">
        <v>333</v>
      </c>
      <c r="C65" t="s">
        <v>267</v>
      </c>
      <c r="D65" t="s">
        <v>19</v>
      </c>
      <c r="E65" t="s">
        <v>129</v>
      </c>
      <c r="F65" s="2" t="s">
        <v>350</v>
      </c>
      <c r="G65" s="2" t="s">
        <v>351</v>
      </c>
      <c r="H65" s="2">
        <v>-1</v>
      </c>
      <c r="I65" s="2" t="s">
        <v>352</v>
      </c>
      <c r="K65" t="s">
        <v>25</v>
      </c>
      <c r="P65" s="2"/>
    </row>
    <row r="66" spans="1:16" x14ac:dyDescent="0.3">
      <c r="A66" t="s">
        <v>353</v>
      </c>
      <c r="B66" t="s">
        <v>333</v>
      </c>
      <c r="C66" t="s">
        <v>272</v>
      </c>
      <c r="D66" t="s">
        <v>19</v>
      </c>
      <c r="E66" t="s">
        <v>117</v>
      </c>
      <c r="F66" s="2" t="s">
        <v>263</v>
      </c>
      <c r="G66" s="2" t="s">
        <v>354</v>
      </c>
      <c r="H66" s="2">
        <v>2.5</v>
      </c>
      <c r="I66" s="2" t="s">
        <v>274</v>
      </c>
      <c r="K66" t="s">
        <v>25</v>
      </c>
      <c r="P66" s="2"/>
    </row>
    <row r="67" spans="1:16" x14ac:dyDescent="0.3">
      <c r="A67" t="s">
        <v>355</v>
      </c>
      <c r="B67" t="s">
        <v>333</v>
      </c>
      <c r="C67" t="s">
        <v>276</v>
      </c>
      <c r="D67" t="s">
        <v>19</v>
      </c>
      <c r="E67" t="s">
        <v>129</v>
      </c>
      <c r="F67" s="2" t="s">
        <v>350</v>
      </c>
      <c r="G67" s="2" t="s">
        <v>356</v>
      </c>
      <c r="H67" s="2">
        <v>2.5</v>
      </c>
      <c r="I67" s="2" t="s">
        <v>357</v>
      </c>
      <c r="K67" t="s">
        <v>25</v>
      </c>
      <c r="P67" s="2"/>
    </row>
    <row r="68" spans="1:16" x14ac:dyDescent="0.3">
      <c r="A68" t="s">
        <v>358</v>
      </c>
      <c r="B68" t="s">
        <v>333</v>
      </c>
      <c r="C68" t="s">
        <v>280</v>
      </c>
      <c r="D68" t="s">
        <v>19</v>
      </c>
      <c r="E68" t="s">
        <v>117</v>
      </c>
      <c r="F68" s="2" t="s">
        <v>281</v>
      </c>
      <c r="G68" s="2" t="s">
        <v>359</v>
      </c>
      <c r="H68" s="2" t="s">
        <v>203</v>
      </c>
      <c r="I68" s="2" t="s">
        <v>288</v>
      </c>
      <c r="K68" t="s">
        <v>25</v>
      </c>
      <c r="P68" s="2"/>
    </row>
    <row r="69" spans="1:16" x14ac:dyDescent="0.3">
      <c r="A69" t="s">
        <v>360</v>
      </c>
      <c r="B69" t="s">
        <v>333</v>
      </c>
      <c r="C69" t="s">
        <v>361</v>
      </c>
      <c r="D69" t="s">
        <v>34</v>
      </c>
      <c r="E69" t="s">
        <v>117</v>
      </c>
      <c r="F69" s="2" t="s">
        <v>281</v>
      </c>
      <c r="G69" s="2" t="s">
        <v>362</v>
      </c>
      <c r="H69" s="2" t="s">
        <v>363</v>
      </c>
      <c r="I69" s="2" t="s">
        <v>364</v>
      </c>
      <c r="K69" t="s">
        <v>25</v>
      </c>
      <c r="P69" s="2"/>
    </row>
    <row r="70" spans="1:16" x14ac:dyDescent="0.3">
      <c r="A70" t="s">
        <v>365</v>
      </c>
      <c r="B70" t="s">
        <v>333</v>
      </c>
      <c r="C70" t="s">
        <v>290</v>
      </c>
      <c r="D70" t="s">
        <v>40</v>
      </c>
      <c r="E70" t="s">
        <v>117</v>
      </c>
      <c r="F70" s="2" t="s">
        <v>281</v>
      </c>
      <c r="G70" s="2" t="s">
        <v>366</v>
      </c>
      <c r="H70" s="2">
        <v>500</v>
      </c>
      <c r="I70" s="2" t="s">
        <v>367</v>
      </c>
      <c r="K70" t="s">
        <v>25</v>
      </c>
      <c r="P70" s="2"/>
    </row>
    <row r="71" spans="1:16" x14ac:dyDescent="0.3">
      <c r="A71" t="s">
        <v>368</v>
      </c>
      <c r="B71" t="s">
        <v>333</v>
      </c>
      <c r="C71" t="s">
        <v>294</v>
      </c>
      <c r="D71" t="s">
        <v>40</v>
      </c>
      <c r="E71" t="s">
        <v>117</v>
      </c>
      <c r="F71" s="2" t="s">
        <v>281</v>
      </c>
      <c r="G71" s="2" t="s">
        <v>369</v>
      </c>
      <c r="H71" s="2">
        <v>500</v>
      </c>
      <c r="I71" s="2" t="s">
        <v>370</v>
      </c>
      <c r="K71" t="s">
        <v>25</v>
      </c>
      <c r="P71" s="2"/>
    </row>
    <row r="72" spans="1:16" ht="28.8" x14ac:dyDescent="0.3">
      <c r="A72" t="s">
        <v>371</v>
      </c>
      <c r="B72" t="s">
        <v>333</v>
      </c>
      <c r="C72" t="s">
        <v>372</v>
      </c>
      <c r="D72" t="s">
        <v>19</v>
      </c>
      <c r="E72" t="s">
        <v>117</v>
      </c>
      <c r="F72" s="2" t="s">
        <v>299</v>
      </c>
      <c r="G72" s="2" t="s">
        <v>373</v>
      </c>
      <c r="H72" s="2" t="s">
        <v>301</v>
      </c>
      <c r="I72" s="2" t="s">
        <v>374</v>
      </c>
      <c r="K72" t="s">
        <v>25</v>
      </c>
      <c r="P72" s="2"/>
    </row>
    <row r="73" spans="1:16" x14ac:dyDescent="0.3">
      <c r="A73" t="s">
        <v>375</v>
      </c>
      <c r="B73" t="s">
        <v>333</v>
      </c>
      <c r="C73" t="s">
        <v>376</v>
      </c>
      <c r="D73" t="s">
        <v>19</v>
      </c>
      <c r="E73" t="s">
        <v>129</v>
      </c>
      <c r="F73" s="2" t="s">
        <v>350</v>
      </c>
      <c r="G73" s="2" t="s">
        <v>377</v>
      </c>
      <c r="H73" s="2" t="s">
        <v>378</v>
      </c>
      <c r="I73" s="2" t="s">
        <v>379</v>
      </c>
      <c r="K73" t="s">
        <v>25</v>
      </c>
      <c r="P73" s="2"/>
    </row>
    <row r="74" spans="1:16" x14ac:dyDescent="0.3">
      <c r="A74" t="s">
        <v>380</v>
      </c>
      <c r="B74" t="s">
        <v>333</v>
      </c>
      <c r="C74" t="s">
        <v>381</v>
      </c>
      <c r="D74" t="s">
        <v>19</v>
      </c>
      <c r="E74" t="s">
        <v>129</v>
      </c>
      <c r="F74" s="2" t="s">
        <v>350</v>
      </c>
      <c r="G74" s="2" t="s">
        <v>382</v>
      </c>
      <c r="H74" s="2" t="s">
        <v>383</v>
      </c>
      <c r="I74" s="2" t="s">
        <v>379</v>
      </c>
      <c r="K74" t="s">
        <v>25</v>
      </c>
      <c r="P74" s="2"/>
    </row>
    <row r="75" spans="1:16" x14ac:dyDescent="0.3">
      <c r="A75" t="s">
        <v>384</v>
      </c>
      <c r="B75" t="s">
        <v>333</v>
      </c>
      <c r="C75" t="s">
        <v>327</v>
      </c>
      <c r="D75" t="s">
        <v>34</v>
      </c>
      <c r="E75" t="s">
        <v>41</v>
      </c>
      <c r="F75" s="2" t="s">
        <v>385</v>
      </c>
      <c r="G75" s="2" t="s">
        <v>386</v>
      </c>
      <c r="H75" s="2" t="s">
        <v>387</v>
      </c>
      <c r="I75" s="2" t="s">
        <v>331</v>
      </c>
      <c r="K75" t="s">
        <v>25</v>
      </c>
      <c r="P75" s="2"/>
    </row>
    <row r="76" spans="1:16" x14ac:dyDescent="0.3">
      <c r="A76" t="s">
        <v>388</v>
      </c>
      <c r="B76" t="s">
        <v>333</v>
      </c>
      <c r="C76" t="s">
        <v>389</v>
      </c>
      <c r="D76" t="s">
        <v>40</v>
      </c>
      <c r="E76" t="s">
        <v>117</v>
      </c>
      <c r="F76" s="2" t="s">
        <v>281</v>
      </c>
      <c r="G76" s="2" t="s">
        <v>390</v>
      </c>
      <c r="H76" s="2" t="s">
        <v>391</v>
      </c>
      <c r="I76" s="2" t="s">
        <v>392</v>
      </c>
      <c r="K76" t="s">
        <v>25</v>
      </c>
      <c r="P76" s="2"/>
    </row>
    <row r="77" spans="1:16" ht="28.8" x14ac:dyDescent="0.3">
      <c r="A77" t="s">
        <v>393</v>
      </c>
      <c r="B77" t="s">
        <v>333</v>
      </c>
      <c r="C77" t="s">
        <v>394</v>
      </c>
      <c r="D77" t="s">
        <v>34</v>
      </c>
      <c r="E77" t="s">
        <v>76</v>
      </c>
      <c r="F77" s="2" t="s">
        <v>175</v>
      </c>
      <c r="G77" s="2" t="s">
        <v>395</v>
      </c>
      <c r="H77" s="2">
        <v>2147483647</v>
      </c>
      <c r="I77" s="2" t="s">
        <v>396</v>
      </c>
      <c r="K77" t="s">
        <v>25</v>
      </c>
      <c r="P77" s="2"/>
    </row>
    <row r="78" spans="1:16" x14ac:dyDescent="0.3">
      <c r="A78" t="s">
        <v>397</v>
      </c>
      <c r="B78" t="s">
        <v>398</v>
      </c>
      <c r="C78" t="s">
        <v>399</v>
      </c>
      <c r="D78" t="s">
        <v>19</v>
      </c>
      <c r="E78" t="s">
        <v>400</v>
      </c>
      <c r="F78" s="2" t="s">
        <v>401</v>
      </c>
      <c r="G78" s="2" t="s">
        <v>402</v>
      </c>
      <c r="H78" s="2" t="s">
        <v>403</v>
      </c>
      <c r="I78" s="2" t="s">
        <v>404</v>
      </c>
      <c r="K78" t="s">
        <v>25</v>
      </c>
      <c r="P78" s="2"/>
    </row>
    <row r="79" spans="1:16" x14ac:dyDescent="0.3">
      <c r="A79" t="s">
        <v>405</v>
      </c>
      <c r="B79" t="s">
        <v>398</v>
      </c>
      <c r="C79" t="s">
        <v>406</v>
      </c>
      <c r="D79" t="s">
        <v>19</v>
      </c>
      <c r="E79" t="s">
        <v>400</v>
      </c>
      <c r="F79" s="2" t="s">
        <v>407</v>
      </c>
      <c r="G79" s="2" t="s">
        <v>408</v>
      </c>
      <c r="H79" s="2" t="s">
        <v>409</v>
      </c>
      <c r="I79" s="2" t="s">
        <v>410</v>
      </c>
      <c r="K79" t="s">
        <v>25</v>
      </c>
      <c r="P79" s="2"/>
    </row>
    <row r="80" spans="1:16" x14ac:dyDescent="0.3">
      <c r="A80" t="s">
        <v>411</v>
      </c>
      <c r="B80" t="s">
        <v>398</v>
      </c>
      <c r="C80" t="s">
        <v>412</v>
      </c>
      <c r="D80" t="s">
        <v>19</v>
      </c>
      <c r="E80" t="s">
        <v>400</v>
      </c>
      <c r="F80" s="2" t="s">
        <v>413</v>
      </c>
      <c r="G80" s="2" t="s">
        <v>408</v>
      </c>
      <c r="H80" s="2" t="s">
        <v>414</v>
      </c>
      <c r="I80" s="2" t="s">
        <v>415</v>
      </c>
      <c r="K80" t="s">
        <v>25</v>
      </c>
      <c r="P80" s="2"/>
    </row>
    <row r="81" spans="1:16" x14ac:dyDescent="0.3">
      <c r="A81" t="s">
        <v>416</v>
      </c>
      <c r="B81" t="s">
        <v>398</v>
      </c>
      <c r="C81" t="s">
        <v>417</v>
      </c>
      <c r="D81" t="s">
        <v>34</v>
      </c>
      <c r="E81" t="s">
        <v>400</v>
      </c>
      <c r="F81" s="2" t="s">
        <v>418</v>
      </c>
      <c r="G81" s="2" t="s">
        <v>408</v>
      </c>
      <c r="H81" s="2" t="s">
        <v>419</v>
      </c>
      <c r="I81" s="2" t="s">
        <v>420</v>
      </c>
      <c r="K81" t="s">
        <v>25</v>
      </c>
      <c r="P81" s="2"/>
    </row>
    <row r="82" spans="1:16" x14ac:dyDescent="0.3">
      <c r="A82" t="s">
        <v>421</v>
      </c>
      <c r="B82" t="s">
        <v>398</v>
      </c>
      <c r="C82" t="s">
        <v>422</v>
      </c>
      <c r="D82" t="s">
        <v>34</v>
      </c>
      <c r="E82" t="s">
        <v>41</v>
      </c>
      <c r="F82" s="2" t="s">
        <v>423</v>
      </c>
      <c r="G82" s="2" t="s">
        <v>424</v>
      </c>
      <c r="H82" s="2" t="s">
        <v>425</v>
      </c>
      <c r="I82" s="2" t="s">
        <v>426</v>
      </c>
      <c r="K82" t="s">
        <v>25</v>
      </c>
      <c r="P82" s="2"/>
    </row>
    <row r="83" spans="1:16" x14ac:dyDescent="0.3">
      <c r="A83" t="s">
        <v>427</v>
      </c>
      <c r="B83" t="s">
        <v>398</v>
      </c>
      <c r="C83" t="s">
        <v>428</v>
      </c>
      <c r="D83" t="s">
        <v>34</v>
      </c>
      <c r="E83" t="s">
        <v>41</v>
      </c>
      <c r="F83" s="2" t="s">
        <v>429</v>
      </c>
      <c r="G83" s="2" t="s">
        <v>430</v>
      </c>
      <c r="H83" s="2" t="s">
        <v>431</v>
      </c>
      <c r="I83" s="2" t="s">
        <v>432</v>
      </c>
      <c r="K83" t="s">
        <v>25</v>
      </c>
      <c r="P83" s="2"/>
    </row>
    <row r="84" spans="1:16" x14ac:dyDescent="0.3">
      <c r="A84" t="s">
        <v>433</v>
      </c>
      <c r="B84" t="s">
        <v>398</v>
      </c>
      <c r="C84" t="s">
        <v>434</v>
      </c>
      <c r="D84" t="s">
        <v>40</v>
      </c>
      <c r="E84" t="s">
        <v>41</v>
      </c>
      <c r="F84" s="2" t="s">
        <v>435</v>
      </c>
      <c r="G84" s="2" t="s">
        <v>436</v>
      </c>
      <c r="H84" s="2" t="s">
        <v>437</v>
      </c>
      <c r="I84" s="2" t="s">
        <v>438</v>
      </c>
      <c r="K84" t="s">
        <v>25</v>
      </c>
      <c r="P84" s="2"/>
    </row>
    <row r="85" spans="1:16" ht="28.8" x14ac:dyDescent="0.3">
      <c r="A85" t="s">
        <v>439</v>
      </c>
      <c r="B85" t="s">
        <v>398</v>
      </c>
      <c r="C85" t="s">
        <v>440</v>
      </c>
      <c r="D85" t="s">
        <v>19</v>
      </c>
      <c r="E85" t="s">
        <v>441</v>
      </c>
      <c r="F85" s="2" t="s">
        <v>435</v>
      </c>
      <c r="G85" s="2" t="s">
        <v>442</v>
      </c>
      <c r="H85" s="2" t="s">
        <v>23</v>
      </c>
      <c r="I85" s="2" t="s">
        <v>443</v>
      </c>
      <c r="K85" t="s">
        <v>25</v>
      </c>
      <c r="P85" s="2"/>
    </row>
    <row r="86" spans="1:16" x14ac:dyDescent="0.3">
      <c r="A86" t="s">
        <v>444</v>
      </c>
      <c r="B86" t="s">
        <v>398</v>
      </c>
      <c r="C86" t="s">
        <v>445</v>
      </c>
      <c r="D86" t="s">
        <v>19</v>
      </c>
      <c r="E86" t="s">
        <v>446</v>
      </c>
      <c r="F86" s="2" t="s">
        <v>350</v>
      </c>
      <c r="G86" s="2" t="s">
        <v>447</v>
      </c>
      <c r="H86" s="2" t="s">
        <v>448</v>
      </c>
      <c r="I86" s="2" t="s">
        <v>449</v>
      </c>
      <c r="K86" t="s">
        <v>25</v>
      </c>
      <c r="P86" s="2"/>
    </row>
    <row r="87" spans="1:16" x14ac:dyDescent="0.3">
      <c r="A87" t="s">
        <v>450</v>
      </c>
      <c r="B87" t="s">
        <v>398</v>
      </c>
      <c r="C87" t="s">
        <v>451</v>
      </c>
      <c r="D87" t="s">
        <v>19</v>
      </c>
      <c r="E87" t="s">
        <v>207</v>
      </c>
      <c r="F87" s="2" t="s">
        <v>452</v>
      </c>
      <c r="G87" s="2" t="s">
        <v>453</v>
      </c>
      <c r="H87" s="2" t="s">
        <v>454</v>
      </c>
      <c r="I87" s="2" t="s">
        <v>455</v>
      </c>
      <c r="K87" t="s">
        <v>25</v>
      </c>
      <c r="P87" s="2"/>
    </row>
    <row r="88" spans="1:16" x14ac:dyDescent="0.3">
      <c r="A88" t="s">
        <v>456</v>
      </c>
      <c r="B88" t="s">
        <v>398</v>
      </c>
      <c r="C88" t="s">
        <v>457</v>
      </c>
      <c r="D88" t="s">
        <v>34</v>
      </c>
      <c r="E88" t="s">
        <v>76</v>
      </c>
      <c r="F88" s="2" t="s">
        <v>458</v>
      </c>
      <c r="G88" s="2" t="s">
        <v>459</v>
      </c>
      <c r="H88" s="2" t="s">
        <v>460</v>
      </c>
      <c r="I88" s="2" t="s">
        <v>461</v>
      </c>
      <c r="K88" t="s">
        <v>25</v>
      </c>
      <c r="P88" s="2"/>
    </row>
    <row r="89" spans="1:16" x14ac:dyDescent="0.3">
      <c r="A89" t="s">
        <v>462</v>
      </c>
      <c r="B89" t="s">
        <v>398</v>
      </c>
      <c r="C89" t="s">
        <v>463</v>
      </c>
      <c r="D89" t="s">
        <v>40</v>
      </c>
      <c r="E89" t="s">
        <v>400</v>
      </c>
      <c r="F89" s="2" t="s">
        <v>464</v>
      </c>
      <c r="G89" s="2" t="s">
        <v>465</v>
      </c>
      <c r="H89" s="2" t="s">
        <v>23</v>
      </c>
      <c r="I89" s="2" t="s">
        <v>466</v>
      </c>
      <c r="K89" t="s">
        <v>25</v>
      </c>
      <c r="P89" s="2"/>
    </row>
    <row r="90" spans="1:16" ht="28.8" x14ac:dyDescent="0.3">
      <c r="A90" t="s">
        <v>467</v>
      </c>
      <c r="B90" t="s">
        <v>468</v>
      </c>
      <c r="C90" t="s">
        <v>469</v>
      </c>
      <c r="D90" t="s">
        <v>19</v>
      </c>
      <c r="E90" t="s">
        <v>20</v>
      </c>
      <c r="F90" s="2" t="s">
        <v>470</v>
      </c>
      <c r="G90" s="2" t="s">
        <v>471</v>
      </c>
      <c r="H90" s="2" t="s">
        <v>472</v>
      </c>
      <c r="I90" s="2" t="s">
        <v>473</v>
      </c>
      <c r="K90" t="s">
        <v>25</v>
      </c>
      <c r="P90" s="2"/>
    </row>
    <row r="91" spans="1:16" x14ac:dyDescent="0.3">
      <c r="A91" t="s">
        <v>474</v>
      </c>
      <c r="B91" t="s">
        <v>468</v>
      </c>
      <c r="C91" t="s">
        <v>475</v>
      </c>
      <c r="D91" t="s">
        <v>19</v>
      </c>
      <c r="E91" t="s">
        <v>76</v>
      </c>
      <c r="F91" s="2" t="s">
        <v>175</v>
      </c>
      <c r="G91" s="2" t="s">
        <v>476</v>
      </c>
      <c r="H91" s="2" t="s">
        <v>23</v>
      </c>
      <c r="I91" s="2" t="s">
        <v>477</v>
      </c>
      <c r="K91" t="s">
        <v>25</v>
      </c>
      <c r="P91" s="2"/>
    </row>
    <row r="92" spans="1:16" x14ac:dyDescent="0.3">
      <c r="A92" t="s">
        <v>478</v>
      </c>
      <c r="B92" t="s">
        <v>468</v>
      </c>
      <c r="C92" t="s">
        <v>479</v>
      </c>
      <c r="D92" t="s">
        <v>19</v>
      </c>
      <c r="E92" t="s">
        <v>76</v>
      </c>
      <c r="F92" s="2" t="s">
        <v>175</v>
      </c>
      <c r="G92" s="2" t="s">
        <v>480</v>
      </c>
      <c r="H92" s="2" t="s">
        <v>23</v>
      </c>
      <c r="I92" s="2" t="s">
        <v>481</v>
      </c>
      <c r="K92" t="s">
        <v>25</v>
      </c>
      <c r="P92" s="2"/>
    </row>
    <row r="93" spans="1:16" ht="28.8" x14ac:dyDescent="0.3">
      <c r="A93" t="s">
        <v>482</v>
      </c>
      <c r="B93" t="s">
        <v>468</v>
      </c>
      <c r="C93" t="s">
        <v>483</v>
      </c>
      <c r="D93" t="s">
        <v>34</v>
      </c>
      <c r="E93" t="s">
        <v>41</v>
      </c>
      <c r="F93" s="2" t="s">
        <v>484</v>
      </c>
      <c r="G93" s="2" t="s">
        <v>485</v>
      </c>
      <c r="H93" s="2" t="s">
        <v>486</v>
      </c>
      <c r="I93" s="2" t="s">
        <v>487</v>
      </c>
      <c r="K93" t="s">
        <v>25</v>
      </c>
      <c r="P93" s="2"/>
    </row>
    <row r="94" spans="1:16" ht="28.8" x14ac:dyDescent="0.3">
      <c r="A94" t="s">
        <v>488</v>
      </c>
      <c r="B94" t="s">
        <v>468</v>
      </c>
      <c r="C94" t="s">
        <v>489</v>
      </c>
      <c r="D94" t="s">
        <v>34</v>
      </c>
      <c r="E94" t="s">
        <v>20</v>
      </c>
      <c r="F94" s="2" t="s">
        <v>490</v>
      </c>
      <c r="G94" s="2" t="s">
        <v>491</v>
      </c>
      <c r="H94" s="2" t="s">
        <v>23</v>
      </c>
      <c r="I94" s="2" t="s">
        <v>492</v>
      </c>
      <c r="K94" t="s">
        <v>25</v>
      </c>
      <c r="P94" s="2"/>
    </row>
    <row r="95" spans="1:16" ht="28.8" x14ac:dyDescent="0.3">
      <c r="A95" t="s">
        <v>493</v>
      </c>
      <c r="B95" t="s">
        <v>468</v>
      </c>
      <c r="C95" t="s">
        <v>494</v>
      </c>
      <c r="D95" t="s">
        <v>19</v>
      </c>
      <c r="E95" t="s">
        <v>20</v>
      </c>
      <c r="F95" s="2" t="s">
        <v>490</v>
      </c>
      <c r="G95" s="2" t="s">
        <v>495</v>
      </c>
      <c r="H95" s="2" t="s">
        <v>496</v>
      </c>
      <c r="I95" s="2" t="s">
        <v>497</v>
      </c>
      <c r="K95" t="s">
        <v>25</v>
      </c>
      <c r="P95" s="2"/>
    </row>
    <row r="96" spans="1:16" x14ac:dyDescent="0.3">
      <c r="A96" t="s">
        <v>498</v>
      </c>
      <c r="B96" t="s">
        <v>468</v>
      </c>
      <c r="C96" t="s">
        <v>499</v>
      </c>
      <c r="D96" t="s">
        <v>34</v>
      </c>
      <c r="E96" t="s">
        <v>207</v>
      </c>
      <c r="F96" s="2" t="s">
        <v>490</v>
      </c>
      <c r="G96" s="2" t="s">
        <v>500</v>
      </c>
      <c r="H96" s="2" t="s">
        <v>23</v>
      </c>
      <c r="I96" s="2" t="s">
        <v>501</v>
      </c>
      <c r="K96" t="s">
        <v>25</v>
      </c>
      <c r="P96" s="2"/>
    </row>
    <row r="97" spans="1:16" x14ac:dyDescent="0.3">
      <c r="A97" t="s">
        <v>502</v>
      </c>
      <c r="B97" t="s">
        <v>468</v>
      </c>
      <c r="C97" t="s">
        <v>503</v>
      </c>
      <c r="D97" t="s">
        <v>34</v>
      </c>
      <c r="E97" t="s">
        <v>504</v>
      </c>
      <c r="F97" s="2" t="s">
        <v>505</v>
      </c>
      <c r="G97" s="2" t="s">
        <v>506</v>
      </c>
      <c r="H97" s="2" t="s">
        <v>23</v>
      </c>
      <c r="I97" s="2" t="s">
        <v>507</v>
      </c>
      <c r="K97" t="s">
        <v>25</v>
      </c>
      <c r="P97" s="2"/>
    </row>
    <row r="98" spans="1:16" x14ac:dyDescent="0.3">
      <c r="A98" t="s">
        <v>508</v>
      </c>
      <c r="B98" t="s">
        <v>468</v>
      </c>
      <c r="C98" t="s">
        <v>509</v>
      </c>
      <c r="D98" t="s">
        <v>40</v>
      </c>
      <c r="E98" t="s">
        <v>504</v>
      </c>
      <c r="F98" s="2" t="s">
        <v>490</v>
      </c>
      <c r="G98" s="2" t="s">
        <v>510</v>
      </c>
      <c r="H98" s="2" t="s">
        <v>23</v>
      </c>
      <c r="I98" s="2" t="s">
        <v>511</v>
      </c>
      <c r="K98" t="s">
        <v>25</v>
      </c>
      <c r="P98" s="2"/>
    </row>
    <row r="99" spans="1:16" x14ac:dyDescent="0.3">
      <c r="A99" t="s">
        <v>512</v>
      </c>
      <c r="B99" t="s">
        <v>468</v>
      </c>
      <c r="C99" t="s">
        <v>513</v>
      </c>
      <c r="D99" t="s">
        <v>34</v>
      </c>
      <c r="E99" t="s">
        <v>41</v>
      </c>
      <c r="F99" s="2" t="s">
        <v>514</v>
      </c>
      <c r="G99" s="2" t="s">
        <v>515</v>
      </c>
      <c r="H99" s="2" t="s">
        <v>516</v>
      </c>
      <c r="I99" s="2" t="s">
        <v>517</v>
      </c>
      <c r="K99" t="s">
        <v>25</v>
      </c>
      <c r="P99" s="2"/>
    </row>
    <row r="100" spans="1:16" ht="28.8" x14ac:dyDescent="0.3">
      <c r="A100" t="s">
        <v>518</v>
      </c>
      <c r="B100" t="s">
        <v>468</v>
      </c>
      <c r="C100" t="s">
        <v>519</v>
      </c>
      <c r="D100" t="s">
        <v>19</v>
      </c>
      <c r="E100" t="s">
        <v>76</v>
      </c>
      <c r="F100" s="2" t="s">
        <v>520</v>
      </c>
      <c r="G100" s="2" t="s">
        <v>521</v>
      </c>
      <c r="H100" s="2" t="s">
        <v>23</v>
      </c>
      <c r="I100" s="2" t="s">
        <v>522</v>
      </c>
      <c r="K100" t="s">
        <v>25</v>
      </c>
      <c r="P100" s="2"/>
    </row>
    <row r="101" spans="1:16" x14ac:dyDescent="0.3">
      <c r="A101" t="s">
        <v>523</v>
      </c>
      <c r="B101" t="s">
        <v>468</v>
      </c>
      <c r="C101" t="s">
        <v>524</v>
      </c>
      <c r="D101" t="s">
        <v>40</v>
      </c>
      <c r="E101" t="s">
        <v>20</v>
      </c>
      <c r="F101" s="2" t="s">
        <v>525</v>
      </c>
      <c r="G101" s="2" t="s">
        <v>526</v>
      </c>
      <c r="H101" s="2" t="s">
        <v>23</v>
      </c>
      <c r="I101" s="2" t="s">
        <v>527</v>
      </c>
      <c r="K101" t="s">
        <v>25</v>
      </c>
      <c r="P101" s="2"/>
    </row>
    <row r="102" spans="1:16" ht="28.8" x14ac:dyDescent="0.3">
      <c r="A102" t="s">
        <v>528</v>
      </c>
      <c r="B102" t="s">
        <v>529</v>
      </c>
      <c r="C102" t="s">
        <v>530</v>
      </c>
      <c r="D102" t="s">
        <v>19</v>
      </c>
      <c r="E102" t="s">
        <v>305</v>
      </c>
      <c r="F102" s="2" t="s">
        <v>531</v>
      </c>
      <c r="G102" s="2" t="s">
        <v>532</v>
      </c>
      <c r="H102" s="2" t="s">
        <v>23</v>
      </c>
      <c r="I102" s="2" t="s">
        <v>533</v>
      </c>
      <c r="K102" t="s">
        <v>25</v>
      </c>
      <c r="P102" s="2"/>
    </row>
    <row r="103" spans="1:16" x14ac:dyDescent="0.3">
      <c r="A103" t="s">
        <v>534</v>
      </c>
      <c r="B103" t="s">
        <v>529</v>
      </c>
      <c r="C103" t="s">
        <v>535</v>
      </c>
      <c r="D103" t="s">
        <v>19</v>
      </c>
      <c r="E103" t="s">
        <v>536</v>
      </c>
      <c r="F103" s="2" t="s">
        <v>537</v>
      </c>
      <c r="G103" s="2" t="s">
        <v>538</v>
      </c>
      <c r="H103" s="2" t="s">
        <v>539</v>
      </c>
      <c r="I103" s="2" t="s">
        <v>540</v>
      </c>
      <c r="K103" t="s">
        <v>25</v>
      </c>
      <c r="P103" s="2"/>
    </row>
    <row r="104" spans="1:16" x14ac:dyDescent="0.3">
      <c r="A104" t="s">
        <v>541</v>
      </c>
      <c r="B104" t="s">
        <v>529</v>
      </c>
      <c r="C104" t="s">
        <v>542</v>
      </c>
      <c r="D104" t="s">
        <v>19</v>
      </c>
      <c r="E104" t="s">
        <v>536</v>
      </c>
      <c r="F104" s="2" t="s">
        <v>537</v>
      </c>
      <c r="G104" s="2" t="s">
        <v>543</v>
      </c>
      <c r="H104" s="2" t="s">
        <v>544</v>
      </c>
      <c r="I104" s="2" t="s">
        <v>545</v>
      </c>
      <c r="K104" t="s">
        <v>25</v>
      </c>
      <c r="P104" s="2"/>
    </row>
    <row r="105" spans="1:16" x14ac:dyDescent="0.3">
      <c r="A105" t="s">
        <v>546</v>
      </c>
      <c r="B105" t="s">
        <v>529</v>
      </c>
      <c r="C105" t="s">
        <v>547</v>
      </c>
      <c r="D105" t="s">
        <v>19</v>
      </c>
      <c r="E105" t="s">
        <v>207</v>
      </c>
      <c r="F105" s="2" t="s">
        <v>548</v>
      </c>
      <c r="G105" s="2" t="s">
        <v>549</v>
      </c>
      <c r="H105" s="2" t="s">
        <v>23</v>
      </c>
      <c r="I105" s="2" t="s">
        <v>550</v>
      </c>
      <c r="K105" t="s">
        <v>25</v>
      </c>
      <c r="P105" s="2"/>
    </row>
    <row r="106" spans="1:16" x14ac:dyDescent="0.3">
      <c r="A106" t="s">
        <v>551</v>
      </c>
      <c r="B106" t="s">
        <v>529</v>
      </c>
      <c r="C106" t="s">
        <v>552</v>
      </c>
      <c r="D106" t="s">
        <v>19</v>
      </c>
      <c r="E106" t="s">
        <v>553</v>
      </c>
      <c r="F106" s="2" t="s">
        <v>554</v>
      </c>
      <c r="G106" s="2" t="s">
        <v>555</v>
      </c>
      <c r="H106" s="2" t="s">
        <v>23</v>
      </c>
      <c r="I106" s="2" t="s">
        <v>556</v>
      </c>
      <c r="K106" t="s">
        <v>25</v>
      </c>
      <c r="P106" s="2"/>
    </row>
    <row r="107" spans="1:16" x14ac:dyDescent="0.3">
      <c r="A107" t="s">
        <v>557</v>
      </c>
      <c r="B107" t="s">
        <v>529</v>
      </c>
      <c r="C107" t="s">
        <v>558</v>
      </c>
      <c r="D107" t="s">
        <v>34</v>
      </c>
      <c r="E107" t="s">
        <v>553</v>
      </c>
      <c r="F107" s="2" t="s">
        <v>554</v>
      </c>
      <c r="G107" s="2" t="s">
        <v>559</v>
      </c>
      <c r="H107" s="2" t="s">
        <v>23</v>
      </c>
      <c r="I107" s="2" t="s">
        <v>560</v>
      </c>
      <c r="K107" t="s">
        <v>25</v>
      </c>
      <c r="P107" s="2"/>
    </row>
    <row r="108" spans="1:16" x14ac:dyDescent="0.3">
      <c r="A108" t="s">
        <v>561</v>
      </c>
      <c r="B108" t="s">
        <v>529</v>
      </c>
      <c r="C108" t="s">
        <v>562</v>
      </c>
      <c r="D108" t="s">
        <v>34</v>
      </c>
      <c r="E108" t="s">
        <v>207</v>
      </c>
      <c r="F108" s="2" t="s">
        <v>554</v>
      </c>
      <c r="G108" s="2" t="s">
        <v>563</v>
      </c>
      <c r="H108" s="2" t="s">
        <v>23</v>
      </c>
      <c r="I108" s="2" t="s">
        <v>564</v>
      </c>
      <c r="K108" t="s">
        <v>25</v>
      </c>
      <c r="P108" s="2"/>
    </row>
    <row r="109" spans="1:16" x14ac:dyDescent="0.3">
      <c r="A109" t="s">
        <v>565</v>
      </c>
      <c r="B109" t="s">
        <v>529</v>
      </c>
      <c r="C109" t="s">
        <v>566</v>
      </c>
      <c r="D109" t="s">
        <v>19</v>
      </c>
      <c r="E109" t="s">
        <v>567</v>
      </c>
      <c r="F109" s="2" t="s">
        <v>568</v>
      </c>
      <c r="G109" s="2" t="s">
        <v>569</v>
      </c>
      <c r="H109" s="2" t="s">
        <v>570</v>
      </c>
      <c r="I109" s="2" t="s">
        <v>571</v>
      </c>
      <c r="K109" t="s">
        <v>25</v>
      </c>
      <c r="P109" s="2"/>
    </row>
    <row r="110" spans="1:16" x14ac:dyDescent="0.3">
      <c r="A110" t="s">
        <v>572</v>
      </c>
      <c r="B110" t="s">
        <v>529</v>
      </c>
      <c r="C110" t="s">
        <v>573</v>
      </c>
      <c r="D110" t="s">
        <v>19</v>
      </c>
      <c r="E110" t="s">
        <v>567</v>
      </c>
      <c r="F110" s="2" t="s">
        <v>574</v>
      </c>
      <c r="G110" s="2" t="s">
        <v>569</v>
      </c>
      <c r="H110" s="2" t="s">
        <v>570</v>
      </c>
      <c r="I110" s="2" t="s">
        <v>575</v>
      </c>
      <c r="K110" t="s">
        <v>25</v>
      </c>
      <c r="P110" s="2"/>
    </row>
    <row r="111" spans="1:16" x14ac:dyDescent="0.3">
      <c r="A111" t="s">
        <v>576</v>
      </c>
      <c r="B111" t="s">
        <v>529</v>
      </c>
      <c r="C111" t="s">
        <v>577</v>
      </c>
      <c r="D111" t="s">
        <v>34</v>
      </c>
      <c r="E111" t="s">
        <v>567</v>
      </c>
      <c r="F111" s="2" t="s">
        <v>578</v>
      </c>
      <c r="G111" s="2" t="s">
        <v>579</v>
      </c>
      <c r="H111" s="2" t="s">
        <v>23</v>
      </c>
      <c r="I111" s="2" t="s">
        <v>580</v>
      </c>
      <c r="K111" t="s">
        <v>25</v>
      </c>
      <c r="P111" s="2"/>
    </row>
    <row r="112" spans="1:16" ht="28.8" x14ac:dyDescent="0.3">
      <c r="A112" t="s">
        <v>581</v>
      </c>
      <c r="B112" t="s">
        <v>529</v>
      </c>
      <c r="C112" t="s">
        <v>582</v>
      </c>
      <c r="D112" t="s">
        <v>19</v>
      </c>
      <c r="E112" t="s">
        <v>567</v>
      </c>
      <c r="F112" s="2" t="s">
        <v>583</v>
      </c>
      <c r="G112" s="2" t="s">
        <v>584</v>
      </c>
      <c r="H112" s="2" t="s">
        <v>23</v>
      </c>
      <c r="I112" s="2" t="s">
        <v>585</v>
      </c>
      <c r="K112" t="s">
        <v>25</v>
      </c>
      <c r="P112" s="2"/>
    </row>
    <row r="113" spans="1:16" ht="28.8" x14ac:dyDescent="0.3">
      <c r="A113" t="s">
        <v>586</v>
      </c>
      <c r="B113" t="s">
        <v>529</v>
      </c>
      <c r="C113" t="s">
        <v>587</v>
      </c>
      <c r="D113" t="s">
        <v>19</v>
      </c>
      <c r="E113" t="s">
        <v>567</v>
      </c>
      <c r="F113" s="2" t="s">
        <v>588</v>
      </c>
      <c r="G113" s="2" t="s">
        <v>589</v>
      </c>
      <c r="H113" s="2" t="s">
        <v>23</v>
      </c>
      <c r="I113" s="2" t="s">
        <v>590</v>
      </c>
      <c r="K113" t="s">
        <v>25</v>
      </c>
      <c r="P113" s="2"/>
    </row>
    <row r="114" spans="1:16" x14ac:dyDescent="0.3">
      <c r="A114" t="s">
        <v>591</v>
      </c>
      <c r="B114" t="s">
        <v>592</v>
      </c>
      <c r="C114" t="s">
        <v>593</v>
      </c>
      <c r="D114" t="s">
        <v>19</v>
      </c>
      <c r="E114" t="s">
        <v>28</v>
      </c>
      <c r="F114" s="2" t="s">
        <v>594</v>
      </c>
      <c r="G114" s="2" t="s">
        <v>595</v>
      </c>
      <c r="H114" s="2" t="s">
        <v>596</v>
      </c>
      <c r="I114" s="2" t="s">
        <v>597</v>
      </c>
      <c r="K114" t="s">
        <v>25</v>
      </c>
      <c r="P114" s="2"/>
    </row>
    <row r="115" spans="1:16" x14ac:dyDescent="0.3">
      <c r="A115" t="s">
        <v>598</v>
      </c>
      <c r="B115" t="s">
        <v>592</v>
      </c>
      <c r="C115" t="s">
        <v>599</v>
      </c>
      <c r="D115" t="s">
        <v>19</v>
      </c>
      <c r="E115" t="s">
        <v>129</v>
      </c>
      <c r="F115" s="2" t="s">
        <v>537</v>
      </c>
      <c r="G115" s="2" t="s">
        <v>600</v>
      </c>
      <c r="H115" s="2" t="s">
        <v>601</v>
      </c>
      <c r="I115" s="2" t="s">
        <v>602</v>
      </c>
      <c r="K115" t="s">
        <v>25</v>
      </c>
      <c r="P115" s="2"/>
    </row>
    <row r="116" spans="1:16" x14ac:dyDescent="0.3">
      <c r="A116" t="s">
        <v>603</v>
      </c>
      <c r="B116" t="s">
        <v>592</v>
      </c>
      <c r="C116" t="s">
        <v>604</v>
      </c>
      <c r="D116" t="s">
        <v>34</v>
      </c>
      <c r="E116" t="s">
        <v>605</v>
      </c>
      <c r="F116" s="2" t="s">
        <v>606</v>
      </c>
      <c r="G116" s="2" t="s">
        <v>607</v>
      </c>
      <c r="H116" s="2" t="s">
        <v>608</v>
      </c>
      <c r="I116" s="2" t="s">
        <v>609</v>
      </c>
      <c r="K116" t="s">
        <v>25</v>
      </c>
      <c r="P116" s="2"/>
    </row>
    <row r="117" spans="1:16" x14ac:dyDescent="0.3">
      <c r="A117" t="s">
        <v>610</v>
      </c>
      <c r="B117" t="s">
        <v>592</v>
      </c>
      <c r="C117" t="s">
        <v>611</v>
      </c>
      <c r="D117" t="s">
        <v>40</v>
      </c>
      <c r="E117" t="s">
        <v>28</v>
      </c>
      <c r="F117" s="2" t="s">
        <v>612</v>
      </c>
      <c r="G117" s="2" t="s">
        <v>613</v>
      </c>
      <c r="H117" s="2" t="s">
        <v>614</v>
      </c>
      <c r="I117" s="2" t="s">
        <v>615</v>
      </c>
      <c r="K117" t="s">
        <v>25</v>
      </c>
      <c r="P117" s="2"/>
    </row>
    <row r="118" spans="1:16" ht="28.8" x14ac:dyDescent="0.3">
      <c r="A118" t="s">
        <v>616</v>
      </c>
      <c r="B118" t="s">
        <v>592</v>
      </c>
      <c r="C118" t="s">
        <v>617</v>
      </c>
      <c r="D118" t="s">
        <v>19</v>
      </c>
      <c r="E118" t="s">
        <v>76</v>
      </c>
      <c r="F118" s="2" t="s">
        <v>618</v>
      </c>
      <c r="G118" s="2" t="s">
        <v>471</v>
      </c>
      <c r="H118" s="2" t="s">
        <v>619</v>
      </c>
      <c r="I118" s="2" t="s">
        <v>620</v>
      </c>
      <c r="K118" t="s">
        <v>25</v>
      </c>
      <c r="P118" s="2"/>
    </row>
    <row r="119" spans="1:16" x14ac:dyDescent="0.3">
      <c r="A119" t="s">
        <v>621</v>
      </c>
      <c r="B119" t="s">
        <v>592</v>
      </c>
      <c r="C119" t="s">
        <v>622</v>
      </c>
      <c r="D119" t="s">
        <v>19</v>
      </c>
      <c r="E119" t="s">
        <v>76</v>
      </c>
      <c r="F119" s="2" t="s">
        <v>623</v>
      </c>
      <c r="G119" s="2" t="s">
        <v>624</v>
      </c>
      <c r="H119" s="2" t="s">
        <v>23</v>
      </c>
      <c r="I119" s="2" t="s">
        <v>625</v>
      </c>
      <c r="K119" t="s">
        <v>25</v>
      </c>
      <c r="P119" s="2"/>
    </row>
    <row r="120" spans="1:16" ht="28.8" x14ac:dyDescent="0.3">
      <c r="A120" t="s">
        <v>626</v>
      </c>
      <c r="B120" t="s">
        <v>592</v>
      </c>
      <c r="C120" t="s">
        <v>627</v>
      </c>
      <c r="D120" t="s">
        <v>19</v>
      </c>
      <c r="E120" t="s">
        <v>76</v>
      </c>
      <c r="F120" s="2" t="s">
        <v>628</v>
      </c>
      <c r="G120" s="2" t="s">
        <v>629</v>
      </c>
      <c r="H120" s="2" t="s">
        <v>23</v>
      </c>
      <c r="I120" s="2" t="s">
        <v>630</v>
      </c>
      <c r="K120" t="s">
        <v>25</v>
      </c>
      <c r="P120" s="2"/>
    </row>
    <row r="121" spans="1:16" ht="28.8" x14ac:dyDescent="0.3">
      <c r="A121" t="s">
        <v>631</v>
      </c>
      <c r="B121" t="s">
        <v>592</v>
      </c>
      <c r="C121" t="s">
        <v>632</v>
      </c>
      <c r="D121" t="s">
        <v>34</v>
      </c>
      <c r="E121" t="s">
        <v>633</v>
      </c>
      <c r="F121" s="2" t="s">
        <v>634</v>
      </c>
      <c r="G121" s="2" t="s">
        <v>635</v>
      </c>
      <c r="H121" s="2" t="s">
        <v>23</v>
      </c>
      <c r="I121" s="2" t="s">
        <v>636</v>
      </c>
      <c r="K121" t="s">
        <v>25</v>
      </c>
      <c r="P121" s="2"/>
    </row>
    <row r="122" spans="1:16" ht="28.8" x14ac:dyDescent="0.3">
      <c r="A122" t="s">
        <v>637</v>
      </c>
      <c r="B122" t="s">
        <v>592</v>
      </c>
      <c r="C122" t="s">
        <v>638</v>
      </c>
      <c r="D122" t="s">
        <v>40</v>
      </c>
      <c r="E122" t="s">
        <v>639</v>
      </c>
      <c r="F122" s="2" t="s">
        <v>490</v>
      </c>
      <c r="G122" s="2" t="s">
        <v>640</v>
      </c>
      <c r="H122" s="2" t="s">
        <v>23</v>
      </c>
      <c r="I122" s="2" t="s">
        <v>641</v>
      </c>
      <c r="K122" t="s">
        <v>25</v>
      </c>
      <c r="P122" s="2"/>
    </row>
    <row r="123" spans="1:16" x14ac:dyDescent="0.3">
      <c r="A123" t="s">
        <v>642</v>
      </c>
      <c r="B123" t="s">
        <v>592</v>
      </c>
      <c r="C123" t="s">
        <v>643</v>
      </c>
      <c r="D123" t="s">
        <v>19</v>
      </c>
      <c r="E123" t="s">
        <v>28</v>
      </c>
      <c r="F123" s="2" t="s">
        <v>644</v>
      </c>
      <c r="G123" s="2" t="s">
        <v>645</v>
      </c>
      <c r="H123" s="2" t="s">
        <v>23</v>
      </c>
      <c r="I123" s="2" t="s">
        <v>646</v>
      </c>
      <c r="K123" t="s">
        <v>25</v>
      </c>
      <c r="P123" s="2"/>
    </row>
  </sheetData>
  <autoFilter ref="A1:P123" xr:uid="{3CBB1FE6-E886-4265-8499-91985CBAB0E5}"/>
  <dataValidations count="1">
    <dataValidation type="list" allowBlank="1" showInputMessage="1" showErrorMessage="1" sqref="K2:K123" xr:uid="{32DDA24C-A624-4E0F-A1C0-ABF7E5216EDC}">
      <mc:AlternateContent xmlns:x12ac="http://schemas.microsoft.com/office/spreadsheetml/2011/1/ac" xmlns:mc="http://schemas.openxmlformats.org/markup-compatibility/2006">
        <mc:Choice Requires="x12ac">
          <x12ac:list>"OK,KO,NT"</x12ac:list>
        </mc:Choice>
        <mc:Fallback>
          <formula1>"OK,KO,NT"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Synthese</vt:lpstr>
      <vt:lpstr>Cas_de_test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 BARRY</dc:creator>
  <cp:lastModifiedBy>Issa  BARRY</cp:lastModifiedBy>
  <dcterms:created xsi:type="dcterms:W3CDTF">2026-02-28T11:22:58Z</dcterms:created>
  <dcterms:modified xsi:type="dcterms:W3CDTF">2026-02-28T11:22:59Z</dcterms:modified>
</cp:coreProperties>
</file>